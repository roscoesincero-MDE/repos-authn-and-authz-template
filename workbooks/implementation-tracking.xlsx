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asks" sheetId="1" state="visible" r:id="rId1"/>
    <sheet xmlns:r="http://schemas.openxmlformats.org/officeDocument/2006/relationships" name="Phase Summary" sheetId="2" state="visible" r:id="rId2"/>
    <sheet xmlns:r="http://schemas.openxmlformats.org/officeDocument/2006/relationships" name="Legend" sheetId="3" state="visible" r:id="rId3"/>
  </sheets>
  <definedNames>
    <definedName name="_xlnm._FilterDatabase" localSheetId="0" hidden="1">'Tasks'!$A$1:$O$112</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color rgb="FF0000FF"/>
      <sz val="10"/>
    </font>
    <font>
      <name val="Arial"/>
      <charset val="1"/>
      <family val="0"/>
      <b val="1"/>
      <color rgb="FF1F3864"/>
      <sz val="14"/>
    </font>
    <font>
      <name val="Arial"/>
      <charset val="1"/>
      <family val="0"/>
      <b val="1"/>
      <sz val="10"/>
    </font>
    <font>
      <name val="Arial"/>
      <charset val="1"/>
      <family val="0"/>
      <i val="1"/>
      <color rgb="FF595959"/>
      <sz val="9"/>
    </font>
    <font>
      <name val="Arial"/>
      <charset val="1"/>
      <family val="0"/>
      <b val="1"/>
      <color rgb="FF1F3864"/>
      <sz val="11"/>
    </font>
    <font>
      <b val="1"/>
    </font>
  </fonts>
  <fills count="5">
    <fill>
      <patternFill/>
    </fill>
    <fill>
      <patternFill patternType="gray125"/>
    </fill>
    <fill>
      <patternFill patternType="solid">
        <fgColor rgb="FF1F3864"/>
        <bgColor rgb="FF333333"/>
      </patternFill>
    </fill>
    <fill>
      <patternFill patternType="solid">
        <fgColor rgb="FFFFFF99"/>
        <bgColor rgb="FFFFFFCC"/>
      </patternFill>
    </fill>
    <fill>
      <patternFill patternType="solid">
        <fgColor rgb="FFD9E2F3"/>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xf>
    <xf numFmtId="0" fontId="5" fillId="0" borderId="1" applyAlignment="1" pivotButton="0" quotePrefix="0" xfId="0">
      <alignment horizontal="general" vertical="top" wrapText="1"/>
    </xf>
    <xf numFmtId="0" fontId="6" fillId="3" borderId="1" applyAlignment="1" pivotButton="0" quotePrefix="0" xfId="0">
      <alignment horizontal="general" vertical="top"/>
    </xf>
    <xf numFmtId="0" fontId="6" fillId="3" borderId="1" applyAlignment="1" pivotButton="0" quotePrefix="0" xfId="0">
      <alignment horizontal="center" vertical="top"/>
    </xf>
    <xf numFmtId="9" fontId="6" fillId="3" borderId="1" applyAlignment="1" pivotButton="0" quotePrefix="0" xfId="0">
      <alignment horizontal="center" vertical="top"/>
    </xf>
    <xf numFmtId="164" fontId="6" fillId="3" borderId="1" applyAlignment="1" pivotButton="0" quotePrefix="0" xfId="0">
      <alignment horizontal="general" vertical="top"/>
    </xf>
    <xf numFmtId="0" fontId="6" fillId="3" borderId="1" applyAlignment="1" pivotButton="0" quotePrefix="0" xfId="0">
      <alignment horizontal="general" vertical="top" wrapText="1"/>
    </xf>
    <xf numFmtId="0" fontId="7" fillId="0" borderId="0" applyAlignment="1" pivotButton="0" quotePrefix="0" xfId="0">
      <alignment horizontal="general" vertical="bottom"/>
    </xf>
    <xf numFmtId="2" fontId="5" fillId="0" borderId="1" applyAlignment="1" pivotButton="0" quotePrefix="0" xfId="0">
      <alignment horizontal="center" vertical="top"/>
    </xf>
    <xf numFmtId="9" fontId="5" fillId="0" borderId="1" applyAlignment="1" pivotButton="0" quotePrefix="0" xfId="0">
      <alignment horizontal="center" vertical="top"/>
    </xf>
    <xf numFmtId="0" fontId="8" fillId="4" borderId="1" applyAlignment="1" pivotButton="0" quotePrefix="0" xfId="0">
      <alignment horizontal="general" vertical="top"/>
    </xf>
    <xf numFmtId="0" fontId="8" fillId="4" borderId="1" applyAlignment="1" pivotButton="0" quotePrefix="0" xfId="0">
      <alignment horizontal="center" vertical="top"/>
    </xf>
    <xf numFmtId="2" fontId="8" fillId="4" borderId="1" applyAlignment="1" pivotButton="0" quotePrefix="0" xfId="0">
      <alignment horizontal="center" vertical="top"/>
    </xf>
    <xf numFmtId="9" fontId="8" fillId="4" borderId="1" applyAlignment="1" pivotButton="0" quotePrefix="0" xfId="0">
      <alignment horizontal="center" vertical="top"/>
    </xf>
    <xf numFmtId="0" fontId="9" fillId="0" borderId="0" applyAlignment="1" pivotButton="0" quotePrefix="0" xfId="0">
      <alignment horizontal="general" vertical="bottom"/>
    </xf>
    <xf numFmtId="0" fontId="5" fillId="0" borderId="0" applyAlignment="1" pivotButton="0" quotePrefix="0" xfId="0">
      <alignment horizontal="general" vertical="top" wrapText="1"/>
    </xf>
    <xf numFmtId="0" fontId="10" fillId="0" borderId="0" applyAlignment="1" pivotButton="0" quotePrefix="0" xfId="0">
      <alignment horizontal="general" vertical="bottom"/>
    </xf>
    <xf numFmtId="0" fontId="9"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xf>
    <xf numFmtId="0" fontId="5" fillId="0" borderId="1" applyAlignment="1" pivotButton="0" quotePrefix="0" xfId="0">
      <alignment horizontal="general" vertical="top" wrapText="1"/>
    </xf>
    <xf numFmtId="0" fontId="6" fillId="3" borderId="1" applyAlignment="1" pivotButton="0" quotePrefix="0" xfId="0">
      <alignment horizontal="general" vertical="top"/>
    </xf>
    <xf numFmtId="0" fontId="6" fillId="3" borderId="1" applyAlignment="1" pivotButton="0" quotePrefix="0" xfId="0">
      <alignment horizontal="center" vertical="top"/>
    </xf>
    <xf numFmtId="9" fontId="6" fillId="3" borderId="1" applyAlignment="1" pivotButton="0" quotePrefix="0" xfId="0">
      <alignment horizontal="center" vertical="top"/>
    </xf>
    <xf numFmtId="164" fontId="6" fillId="3" borderId="1" applyAlignment="1" pivotButton="0" quotePrefix="0" xfId="0">
      <alignment horizontal="general" vertical="top"/>
    </xf>
    <xf numFmtId="0" fontId="6" fillId="3" borderId="1" applyAlignment="1" pivotButton="0" quotePrefix="0" xfId="0">
      <alignment horizontal="general" vertical="top" wrapText="1"/>
    </xf>
    <xf numFmtId="0" fontId="7" fillId="0" borderId="0" applyAlignment="1" pivotButton="0" quotePrefix="0" xfId="0">
      <alignment horizontal="general" vertical="bottom"/>
    </xf>
    <xf numFmtId="2" fontId="5" fillId="0" borderId="1" applyAlignment="1" pivotButton="0" quotePrefix="0" xfId="0">
      <alignment horizontal="center" vertical="top"/>
    </xf>
    <xf numFmtId="9" fontId="5" fillId="0" borderId="1" applyAlignment="1" pivotButton="0" quotePrefix="0" xfId="0">
      <alignment horizontal="center" vertical="top"/>
    </xf>
    <xf numFmtId="0" fontId="8" fillId="4" borderId="1" applyAlignment="1" pivotButton="0" quotePrefix="0" xfId="0">
      <alignment horizontal="general" vertical="top"/>
    </xf>
    <xf numFmtId="0" fontId="8" fillId="4" borderId="1" applyAlignment="1" pivotButton="0" quotePrefix="0" xfId="0">
      <alignment horizontal="center" vertical="top"/>
    </xf>
    <xf numFmtId="2" fontId="8" fillId="4" borderId="1" applyAlignment="1" pivotButton="0" quotePrefix="0" xfId="0">
      <alignment horizontal="center" vertical="top"/>
    </xf>
    <xf numFmtId="9" fontId="8" fillId="4" borderId="1" applyAlignment="1" pivotButton="0" quotePrefix="0" xfId="0">
      <alignment horizontal="center" vertical="top"/>
    </xf>
    <xf numFmtId="0" fontId="9" fillId="0" borderId="0" applyAlignment="1" pivotButton="0" quotePrefix="0" xfId="0">
      <alignment horizontal="general" vertical="bottom"/>
    </xf>
    <xf numFmtId="0" fontId="5" fillId="0" borderId="0" applyAlignment="1" pivotButton="0" quotePrefix="0" xfId="0">
      <alignment horizontal="general" vertical="top" wrapText="1"/>
    </xf>
    <xf numFmtId="0" fontId="10" fillId="0" borderId="0" applyAlignment="1" pivotButton="0" quotePrefix="0" xfId="0">
      <alignment horizontal="general" vertical="bottom"/>
    </xf>
    <xf numFmtId="0" fontId="9" fillId="0" borderId="0" applyAlignment="1" pivotButton="0" quotePrefix="0" xfId="0">
      <alignment horizontal="general" vertical="top" wrapText="1"/>
    </xf>
    <xf numFmtId="0" fontId="6" fillId="3" borderId="1" applyAlignment="1" pivotButton="0" quotePrefix="0" xfId="0">
      <alignment horizontal="center"/>
    </xf>
    <xf numFmtId="0" fontId="11" fillId="0" borderId="0"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F99"/>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30"/>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22" min="1" max="1"/>
    <col width="16" customWidth="1" style="22" min="2" max="2"/>
    <col width="30" customWidth="1" style="22" min="3" max="3"/>
    <col width="62" customWidth="1" style="22" min="4" max="4"/>
    <col width="14" customWidth="1" style="22" min="5" max="5"/>
    <col width="20" customWidth="1" style="22" min="6" max="6"/>
    <col width="11" customWidth="1" style="22" min="7" max="7"/>
    <col width="9" customWidth="1" style="22" min="8" max="8"/>
    <col width="14" customWidth="1" style="22" min="9" max="9"/>
    <col width="13" customWidth="1" style="22" min="10" max="10"/>
    <col width="9" customWidth="1" style="22" min="11" max="11"/>
    <col width="12" customWidth="1" style="22" min="12" max="13"/>
    <col width="11" customWidth="1" style="22" min="14" max="14"/>
    <col width="34" customWidth="1" style="22" min="15" max="15"/>
  </cols>
  <sheetData>
    <row r="1" ht="30" customHeight="1" s="23">
      <c r="A1" s="24" t="inlineStr">
        <is>
          <t>Task ID</t>
        </is>
      </c>
      <c r="B1" s="24" t="inlineStr">
        <is>
          <t>Phase</t>
        </is>
      </c>
      <c r="C1" s="24" t="inlineStr">
        <is>
          <t>Artefact / Script</t>
        </is>
      </c>
      <c r="D1" s="24" t="inlineStr">
        <is>
          <t>Task</t>
        </is>
      </c>
      <c r="E1" s="24" t="inlineStr">
        <is>
          <t>Type</t>
        </is>
      </c>
      <c r="F1" s="24" t="inlineStr">
        <is>
          <t>Design Ref</t>
        </is>
      </c>
      <c r="G1" s="24" t="inlineStr">
        <is>
          <t>Depends On</t>
        </is>
      </c>
      <c r="H1" s="24" t="inlineStr">
        <is>
          <t>Est. Days</t>
        </is>
      </c>
      <c r="I1" s="24" t="inlineStr">
        <is>
          <t>Owner</t>
        </is>
      </c>
      <c r="J1" s="24" t="inlineStr">
        <is>
          <t>Status</t>
        </is>
      </c>
      <c r="K1" s="24" t="inlineStr">
        <is>
          <t>% Done</t>
        </is>
      </c>
      <c r="L1" s="24" t="inlineStr">
        <is>
          <t>Started</t>
        </is>
      </c>
      <c r="M1" s="24" t="inlineStr">
        <is>
          <t>Completed</t>
        </is>
      </c>
      <c r="N1" s="24" t="inlineStr">
        <is>
          <t>Actual Days</t>
        </is>
      </c>
      <c r="O1" s="24" t="inlineStr">
        <is>
          <t>Notes / Blockers</t>
        </is>
      </c>
    </row>
    <row r="2" ht="23.25" customHeight="1" s="23">
      <c r="A2" s="25" t="inlineStr">
        <is>
          <t>T-001</t>
        </is>
      </c>
      <c r="B2" s="26" t="inlineStr">
        <is>
          <t>0 Foundations</t>
        </is>
      </c>
      <c r="C2" s="27" t="inlineStr">
        <is>
          <t>(environment)</t>
        </is>
      </c>
      <c r="D2" s="27" t="inlineStr">
        <is>
          <t>Provision throwaway development database; assert SQL Server 2022 compatibility level and READ_COMMITTED_SNAPSHOT</t>
        </is>
      </c>
      <c r="E2" s="25" t="inlineStr">
        <is>
          <t>Environment</t>
        </is>
      </c>
      <c r="F2" s="27" t="inlineStr">
        <is>
          <t>PLAN §3 PRE-01</t>
        </is>
      </c>
      <c r="G2" s="26" t="n"/>
      <c r="H2" s="25" t="n">
        <v>0.5</v>
      </c>
      <c r="I2" s="28" t="inlineStr">
        <is>
          <t>Opus 5</t>
        </is>
      </c>
      <c r="J2" s="29" t="inlineStr">
        <is>
          <t>Complete</t>
        </is>
      </c>
      <c r="K2" s="30" t="n">
        <v>1</v>
      </c>
      <c r="L2" s="31" t="n">
        <v>46284</v>
      </c>
      <c r="M2" s="31" t="n">
        <v>46284</v>
      </c>
      <c r="N2" s="28" t="n">
        <v>0.25</v>
      </c>
      <c r="O2" s="32" t="inlineStr">
        <is>
          <t>Done. testTemplate did not exist on MDE-55TT2J4; 000_prerequisites.sql created it and set compatibility level 160, READ_COMMITTED_SNAPSHOT ON, PAGE_VERIFY CHECKSUM and AUTO_CLOSE OFF. A later run printed "Database [testTemplate] already exists. Reusing it; nothing dropped, nothing recreated." -- create-if-absent and reuse-if-present are both proven. The instance is SQL Server 2025 (17.0.1135.8, Standard Developer Edition), not 2022, so the above-major-16 warning fires on every deployment: see A-01 and BL-018.</t>
        </is>
      </c>
    </row>
    <row r="3" ht="23.25" customHeight="1" s="23">
      <c r="A3" s="25" t="inlineStr">
        <is>
          <t>T-002</t>
        </is>
      </c>
      <c r="B3" s="26" t="inlineStr">
        <is>
          <t>0 Foundations</t>
        </is>
      </c>
      <c r="C3" s="27" t="inlineStr">
        <is>
          <t>(environment)</t>
        </is>
      </c>
      <c r="D3" s="27" t="inlineStr">
        <is>
          <t>Confirm the estate's database role names: applicationRole, readOnlyRole, logsAuditReader, rlsBypassRole</t>
        </is>
      </c>
      <c r="E3" s="25" t="inlineStr">
        <is>
          <t>Environment</t>
        </is>
      </c>
      <c r="F3" s="27" t="inlineStr">
        <is>
          <t>PLAN §3 PRE-03</t>
        </is>
      </c>
      <c r="G3" s="26" t="n"/>
      <c r="H3" s="25" t="n">
        <v>0.25</v>
      </c>
      <c r="I3" s="28" t="inlineStr">
        <is>
          <t>Opus 5</t>
        </is>
      </c>
      <c r="J3" s="29" t="inlineStr">
        <is>
          <t>Complete</t>
        </is>
      </c>
      <c r="K3" s="30" t="n">
        <v>1</v>
      </c>
      <c r="L3" s="31" t="n">
        <v>46284</v>
      </c>
      <c r="M3" s="31" t="n">
        <v>46284</v>
      </c>
      <c r="N3" s="28" t="n">
        <v>0.25</v>
      </c>
      <c r="O3" s="32" t="inlineStr">
        <is>
          <t>Renamed across 16 files, 151 occurrences: app_role-&gt;applicationRole, readonly_role-&gt;readOnlyRole, logs_audit_reader-&gt;logsAuditReader. rls_bypass_role-&gt;rlsBypassRole was not requested -- renamed for consistency since it is this design's own coinage; trivially reversible. Word-boundary matching used so @read_only and db_owner were untouched; verified nothing collateral changed.</t>
        </is>
      </c>
    </row>
    <row r="4" ht="23.25" customHeight="1" s="23">
      <c r="A4" s="25" t="inlineStr">
        <is>
          <t>T-003</t>
        </is>
      </c>
      <c r="B4" s="26" t="inlineStr">
        <is>
          <t>0 Foundations</t>
        </is>
      </c>
      <c r="C4" s="27" t="inlineStr">
        <is>
          <t>extended-properties.sql</t>
        </is>
      </c>
      <c r="D4" s="27" t="inlineStr">
        <is>
          <t>Run the conventions skill's extended-properties template; verify util.uspSetObjectDescription exists and is re-runnable</t>
        </is>
      </c>
      <c r="E4" s="25" t="inlineStr">
        <is>
          <t>Script</t>
        </is>
      </c>
      <c r="F4" s="27" t="inlineStr">
        <is>
          <t>DES §21.2</t>
        </is>
      </c>
      <c r="G4" s="26" t="inlineStr">
        <is>
          <t>T-001</t>
        </is>
      </c>
      <c r="H4" s="25" t="n">
        <v>0.25</v>
      </c>
      <c r="I4" s="28" t="inlineStr">
        <is>
          <t>Opus 5</t>
        </is>
      </c>
      <c r="J4" s="29" t="inlineStr">
        <is>
          <t>Complete</t>
        </is>
      </c>
      <c r="K4" s="30" t="n">
        <v>1</v>
      </c>
      <c r="L4" s="31" t="n">
        <v>46284</v>
      </c>
      <c r="M4" s="31" t="n">
        <v>46284</v>
      </c>
      <c r="N4" s="28" t="n">
        <v>0.25</v>
      </c>
      <c r="O4" s="32" t="inlineStr">
        <is>
          <t>Done. extended-properties.sql ran clean against MDE-55TT2J4\testTemplate; util.uspSetObjectDescription exists, and a second run reported no change.</t>
        </is>
      </c>
    </row>
    <row r="5" ht="23.25" customHeight="1" s="23">
      <c r="A5" s="25" t="inlineStr">
        <is>
          <t>T-004</t>
        </is>
      </c>
      <c r="B5" s="26" t="inlineStr">
        <is>
          <t>0 Foundations</t>
        </is>
      </c>
      <c r="C5" s="27" t="inlineStr">
        <is>
          <t>logdBChanges.sql</t>
        </is>
      </c>
      <c r="D5" s="27" t="inlineStr">
        <is>
          <t>Run DDL change logging installer; verify with checkDbChangeLogging.sql and logs.uspDdlAuditVerify</t>
        </is>
      </c>
      <c r="E5" s="25" t="inlineStr">
        <is>
          <t>Script</t>
        </is>
      </c>
      <c r="F5" s="27" t="inlineStr">
        <is>
          <t>DES §21.2</t>
        </is>
      </c>
      <c r="G5" s="26" t="inlineStr">
        <is>
          <t>T-003</t>
        </is>
      </c>
      <c r="H5" s="25" t="n">
        <v>0.5</v>
      </c>
      <c r="I5" s="28" t="inlineStr">
        <is>
          <t>Opus 5</t>
        </is>
      </c>
      <c r="J5" s="29" t="inlineStr">
        <is>
          <t>Complete</t>
        </is>
      </c>
      <c r="K5" s="30" t="n">
        <v>1</v>
      </c>
      <c r="L5" s="31" t="n">
        <v>46284</v>
      </c>
      <c r="M5" s="31" t="n">
        <v>46284</v>
      </c>
      <c r="N5" s="28" t="n">
        <v>0.5</v>
      </c>
      <c r="O5" s="32" t="inlineStr">
        <is>
          <t>Done. logdBChanges.sql ran clean. checkDbChangeLogging.sql returns 19 OK/INFO rows and no failures, on the first run and on the second; logs.uspDdlAuditVerify returns 7 OK plus one INFO watermark row. One first-pass deferred-resolution warning: logs.uspDdlAuditVerify references logs.uspRecordExecutionError, which the next installer creates. Harmless in the documented order and not fixable by swapping the two. BL-017.</t>
        </is>
      </c>
    </row>
    <row r="6" ht="23.25" customHeight="1" s="23">
      <c r="A6" s="25" t="inlineStr">
        <is>
          <t>T-005</t>
        </is>
      </c>
      <c r="B6" s="26" t="inlineStr">
        <is>
          <t>0 Foundations</t>
        </is>
      </c>
      <c r="C6" s="27" t="inlineStr">
        <is>
          <t>logExecutionLogging.sql</t>
        </is>
      </c>
      <c r="D6" s="27" t="inlineStr">
        <is>
          <t>Run execution logging installer; confirm the closing report is clean including the owner of schema logs</t>
        </is>
      </c>
      <c r="E6" s="25" t="inlineStr">
        <is>
          <t>Script</t>
        </is>
      </c>
      <c r="F6" s="27" t="inlineStr">
        <is>
          <t>DES §21.2</t>
        </is>
      </c>
      <c r="G6" s="26" t="inlineStr">
        <is>
          <t>T-004</t>
        </is>
      </c>
      <c r="H6" s="25" t="n">
        <v>0.5</v>
      </c>
      <c r="I6" s="28" t="inlineStr">
        <is>
          <t>Opus 5</t>
        </is>
      </c>
      <c r="J6" s="29" t="inlineStr">
        <is>
          <t>Complete</t>
        </is>
      </c>
      <c r="K6" s="30" t="n">
        <v>1</v>
      </c>
      <c r="L6" s="31" t="n">
        <v>46284</v>
      </c>
      <c r="M6" s="31" t="n">
        <v>46284</v>
      </c>
      <c r="N6" s="28" t="n">
        <v>0.25</v>
      </c>
      <c r="O6" s="32" t="inlineStr">
        <is>
          <t>Done. logExecutionLogging.sql ran clean; logs.ExecutionLog and the four logging procedures exist and schema logs is owned by dbo, as the closing report requires. StartDateUtc is DATETIME2 (3) in the database, matching what the procedure template declares.</t>
        </is>
      </c>
    </row>
    <row r="7" ht="15" customHeight="1" s="23">
      <c r="A7" s="25" t="inlineStr">
        <is>
          <t>T-006</t>
        </is>
      </c>
      <c r="B7" s="26" t="inlineStr">
        <is>
          <t>0 Foundations</t>
        </is>
      </c>
      <c r="C7" s="27" t="inlineStr">
        <is>
          <t>permissions.sql</t>
        </is>
      </c>
      <c r="D7" s="27" t="inlineStr">
        <is>
          <t>Run the schema permission script; read the catalog report back</t>
        </is>
      </c>
      <c r="E7" s="25" t="inlineStr">
        <is>
          <t>Script</t>
        </is>
      </c>
      <c r="F7" s="27" t="inlineStr">
        <is>
          <t>DES §21.2</t>
        </is>
      </c>
      <c r="G7" s="26" t="inlineStr">
        <is>
          <t>T-005</t>
        </is>
      </c>
      <c r="H7" s="25" t="n">
        <v>0.25</v>
      </c>
      <c r="I7" s="28" t="inlineStr">
        <is>
          <t>Opus 5</t>
        </is>
      </c>
      <c r="J7" s="29" t="inlineStr">
        <is>
          <t>Complete</t>
        </is>
      </c>
      <c r="K7" s="30" t="n">
        <v>1</v>
      </c>
      <c r="L7" s="31" t="n">
        <v>46284</v>
      </c>
      <c r="M7" s="31" t="n">
        <v>46284</v>
      </c>
      <c r="N7" s="28" t="n">
        <v>0.25</v>
      </c>
      <c r="O7" s="32" t="inlineStr">
        <is>
          <t>Done. permissions.sql ran clean and the catalog report reads back. What the report does not say is that the script issues no grant and no deny on SCHEMA::config or SCHEMA::util, so after a complete Phase 0 deployment both are invisible to applicationRole and readOnlyRole with no error anywhere. SCHEMA::auth is deliberate (INV-11); config and util are simply outside the conventions script's model. New gap G-19; 170_permissions.sql (Phase 8) must close config. BL-015.</t>
        </is>
      </c>
    </row>
    <row r="8" ht="23.25" customHeight="1" s="23">
      <c r="A8" s="25" t="inlineStr">
        <is>
          <t>T-007</t>
        </is>
      </c>
      <c r="B8" s="26" t="inlineStr">
        <is>
          <t>0 Foundations</t>
        </is>
      </c>
      <c r="C8" s="27" t="inlineStr">
        <is>
          <t>(all four installers)</t>
        </is>
      </c>
      <c r="D8" s="27" t="inlineStr">
        <is>
          <t>Second full run from the same state; confirm zero change and zero output — the exercise the skill README asks for and that has never been done</t>
        </is>
      </c>
      <c r="E8" s="25" t="inlineStr">
        <is>
          <t>Test</t>
        </is>
      </c>
      <c r="F8" s="27" t="inlineStr">
        <is>
          <t>PLAN §4 Phase 0</t>
        </is>
      </c>
      <c r="G8" s="26" t="inlineStr">
        <is>
          <t>T-006</t>
        </is>
      </c>
      <c r="H8" s="25" t="n">
        <v>0.5</v>
      </c>
      <c r="I8" s="28" t="inlineStr">
        <is>
          <t>Opus 5</t>
        </is>
      </c>
      <c r="J8" s="29" t="inlineStr">
        <is>
          <t>Complete</t>
        </is>
      </c>
      <c r="K8" s="30" t="n">
        <v>1</v>
      </c>
      <c r="L8" s="31" t="n">
        <v>46284</v>
      </c>
      <c r="M8" s="31" t="n">
        <v>46284</v>
      </c>
      <c r="N8" s="28" t="n">
        <v>0.25</v>
      </c>
      <c r="O8" s="32" t="inlineStr">
        <is>
          <t>Done. Install-TemplateDatabase.ps1 -VerifyIdempotent exited 0. A difflib comparison of pass 1 against pass 2 shows the only difference is the one-time verification section appended after pass 2: no Creating, Setting or Transferring lines anywhere in the re-run. State converges. The DDL event trail does not, and that is a different claim: each pass adds about 45 rows (114 -&gt; 204 over two passes) because CREATE OR ALTER and the unconditional GRANT/DENY statements each raise a DDL event whether or not anything differed. BL-016.</t>
        </is>
      </c>
    </row>
    <row r="9" ht="23.25" customHeight="1" s="23">
      <c r="A9" s="25" t="inlineStr">
        <is>
          <t>T-008</t>
        </is>
      </c>
      <c r="B9" s="26" t="inlineStr">
        <is>
          <t>0 Foundations</t>
        </is>
      </c>
      <c r="C9" s="27" t="inlineStr">
        <is>
          <t>005_schemas_and_roles.sql</t>
        </is>
      </c>
      <c r="D9" s="27" t="inlineStr">
        <is>
          <t>Create rlsBypassRole; document who may be a member and the approval path</t>
        </is>
      </c>
      <c r="E9" s="25" t="inlineStr">
        <is>
          <t>Script</t>
        </is>
      </c>
      <c r="F9" s="27" t="inlineStr">
        <is>
          <t>DES §10.5</t>
        </is>
      </c>
      <c r="G9" s="26" t="inlineStr">
        <is>
          <t>T-002</t>
        </is>
      </c>
      <c r="H9" s="25" t="n">
        <v>0.5</v>
      </c>
      <c r="I9" s="28" t="inlineStr">
        <is>
          <t>Opus 5</t>
        </is>
      </c>
      <c r="J9" s="29" t="inlineStr">
        <is>
          <t>Complete</t>
        </is>
      </c>
      <c r="K9" s="30" t="n">
        <v>1</v>
      </c>
      <c r="L9" s="31" t="n">
        <v>46284</v>
      </c>
      <c r="M9" s="31" t="n">
        <v>46284</v>
      </c>
      <c r="N9" s="28" t="n">
        <v>0.5</v>
      </c>
      <c r="O9" s="32" t="inlineStr">
        <is>
          <t>rlsBypassRole created in database/005_schemas_and_roles.sql section 3. Membership policy written out in section 4 as four numbered rules, and the closing report lists every member by name with a REVIEW severity so a privileged group nobody enumerates cannot quietly grow.</t>
        </is>
      </c>
    </row>
    <row r="10" ht="23.25" customHeight="1" s="23">
      <c r="A10" s="25" t="inlineStr">
        <is>
          <t>T-009</t>
        </is>
      </c>
      <c r="B10" s="26" t="inlineStr">
        <is>
          <t>0 Foundations</t>
        </is>
      </c>
      <c r="C10" s="27" t="inlineStr">
        <is>
          <t>000_prerequisites.sql</t>
        </is>
      </c>
      <c r="D10" s="27" t="inlineStr">
        <is>
          <t>Write the prerequisite/assertion script: target database check, compatibility level, database options</t>
        </is>
      </c>
      <c r="E10" s="25" t="inlineStr">
        <is>
          <t>Script</t>
        </is>
      </c>
      <c r="F10" s="27" t="inlineStr">
        <is>
          <t>DES §21.1</t>
        </is>
      </c>
      <c r="G10" s="26" t="inlineStr">
        <is>
          <t>T-001</t>
        </is>
      </c>
      <c r="H10" s="25" t="n">
        <v>0.5</v>
      </c>
      <c r="I10" s="28" t="inlineStr">
        <is>
          <t>Opus 5</t>
        </is>
      </c>
      <c r="J10" s="29" t="inlineStr">
        <is>
          <t>Complete</t>
        </is>
      </c>
      <c r="K10" s="30" t="n">
        <v>1</v>
      </c>
      <c r="L10" s="31" t="n">
        <v>46284</v>
      </c>
      <c r="M10" s="31" t="n">
        <v>46284</v>
      </c>
      <c r="N10" s="28" t="n"/>
      <c r="O10" s="32" t="inlineStr">
        <is>
          <t>database/000_prerequisites.sql. Asserts the server version (hard floor at major 16, warning above), creates the database if absent, sets compatibility level 160, READ_COMMITTED_SNAPSHOT, PAGE_VERIFY CHECKSUM and AUTO_CLOSE OFF, each guarded. Passes the convention gate.</t>
        </is>
      </c>
    </row>
    <row r="11" ht="23.25" customHeight="1" s="23">
      <c r="A11" s="25" t="inlineStr">
        <is>
          <t>T-010</t>
        </is>
      </c>
      <c r="B11" s="26" t="inlineStr">
        <is>
          <t>0 Foundations</t>
        </is>
      </c>
      <c r="C11" s="27" t="inlineStr">
        <is>
          <t>005_schemas_and_roles.sql</t>
        </is>
      </c>
      <c r="D11" s="27" t="inlineStr">
        <is>
          <t>Write schema creation for auth, logs, config, util with ownership to dbo; create the four roles guarded on existence</t>
        </is>
      </c>
      <c r="E11" s="25" t="inlineStr">
        <is>
          <t>Script</t>
        </is>
      </c>
      <c r="F11" s="27" t="inlineStr">
        <is>
          <t>DES §21.1</t>
        </is>
      </c>
      <c r="G11" s="26" t="inlineStr">
        <is>
          <t>T-009</t>
        </is>
      </c>
      <c r="H11" s="25" t="n">
        <v>0.75</v>
      </c>
      <c r="I11" s="28" t="inlineStr">
        <is>
          <t>Opus 5</t>
        </is>
      </c>
      <c r="J11" s="29" t="inlineStr">
        <is>
          <t>Complete</t>
        </is>
      </c>
      <c r="K11" s="30" t="n">
        <v>1</v>
      </c>
      <c r="L11" s="31" t="n">
        <v>46284</v>
      </c>
      <c r="M11" s="31" t="n">
        <v>46284</v>
      </c>
      <c r="N11" s="28" t="n"/>
      <c r="O11" s="32" t="inlineStr">
        <is>
          <t>database/005_schemas_and_roles.sql. Four schemas, ownership forced to dbo, four roles, and a closing report naming every schema owner and role member. Passes the convention gate.</t>
        </is>
      </c>
    </row>
    <row r="12" ht="23.25" customHeight="1" s="23">
      <c r="A12" s="25" t="inlineStr">
        <is>
          <t>T-011</t>
        </is>
      </c>
      <c r="B12" s="26" t="inlineStr">
        <is>
          <t>0 Foundations</t>
        </is>
      </c>
      <c r="C12" s="27" t="inlineStr">
        <is>
          <t>(deployment runner)</t>
        </is>
      </c>
      <c r="D12" s="27" t="inlineStr">
        <is>
          <t>Establish the deployment runner: ordered execution, sqlcmd -I -C, -v DbName= on every installer, non-zero exit on failure</t>
        </is>
      </c>
      <c r="E12" s="25" t="inlineStr">
        <is>
          <t>Environment</t>
        </is>
      </c>
      <c r="F12" s="27" t="inlineStr">
        <is>
          <t>DES §21.1</t>
        </is>
      </c>
      <c r="G12" s="26" t="inlineStr">
        <is>
          <t>T-010</t>
        </is>
      </c>
      <c r="H12" s="25" t="n">
        <v>1</v>
      </c>
      <c r="I12" s="28" t="inlineStr">
        <is>
          <t>Opus 5</t>
        </is>
      </c>
      <c r="J12" s="29" t="inlineStr">
        <is>
          <t>Complete</t>
        </is>
      </c>
      <c r="K12" s="30" t="n">
        <v>1</v>
      </c>
      <c r="L12" s="31" t="n">
        <v>46284</v>
      </c>
      <c r="M12" s="31" t="n">
        <v>46284</v>
      </c>
      <c r="N12" s="28" t="n">
        <v>1</v>
      </c>
      <c r="O12" s="32" t="inlineStr">
        <is>
          <t>Done. First execution of the runner, ever, and it ran correctly end to end: ordered manifest, sqlcmd -I -C -b -v DbName= on every installer, transcript to database/_logs/, and 090 skipped with its named reason while auth.Tenant is absent rather than failing the run. -VerifyIdempotent put both passes in one transcript. No change to the script was needed.  AMENDED IN PHASE 1: the skip reason above named auth.Tenant, and that became wrong the moment 030_auth_tenant.sql created it. The probe tested one of the two tables 090_dbo_application.sql asserts, so it would have answered YES while the answer was 'some', and the deployment would have failed under -b at the exact moment Phase 1 succeeded. Test-AuthSchemaPresent now tests auth.Tenant AND auth.UserProfile, and the skip names auth.UserProfile -- BL-023.</t>
        </is>
      </c>
    </row>
    <row r="13" ht="34.5" customHeight="1" s="23">
      <c r="A13" s="25" t="inlineStr">
        <is>
          <t>T-012</t>
        </is>
      </c>
      <c r="B13" s="26" t="inlineStr">
        <is>
          <t>0 Foundations</t>
        </is>
      </c>
      <c r="C13" s="27" t="inlineStr">
        <is>
          <t>ponytail-sql-objects</t>
        </is>
      </c>
      <c r="D13" s="27" t="inlineStr">
        <is>
          <t>De-reference the conventions skill: remove other projects' script names, database names, server names and logins; keep the worked examples and label them as the skill's own</t>
        </is>
      </c>
      <c r="E13" s="25" t="inlineStr">
        <is>
          <t>Documentation</t>
        </is>
      </c>
      <c r="F13" s="27" t="inlineStr">
        <is>
          <t>PLAN §6</t>
        </is>
      </c>
      <c r="G13" s="26" t="n"/>
      <c r="H13" s="25" t="n">
        <v>0.75</v>
      </c>
      <c r="I13" s="28" t="inlineStr">
        <is>
          <t>Opus 5</t>
        </is>
      </c>
      <c r="J13" s="29" t="inlineStr">
        <is>
          <t>Complete</t>
        </is>
      </c>
      <c r="K13" s="30" t="n">
        <v>1</v>
      </c>
      <c r="L13" s="31" t="n">
        <v>46284</v>
      </c>
      <c r="M13" s="31" t="n">
        <v>46284</v>
      </c>
      <c r="N13" s="28" t="n"/>
      <c r="O13" s="32" t="inlineStr">
        <is>
          <t>Skill de-referenced in the previous pass: foreign script paths, borrowed object names and the 'what this name used to be' archaeology all removed; worked examples kept and relabelled as the skill's own. The rules themselves were not touched.</t>
        </is>
      </c>
    </row>
    <row r="14" ht="23.25" customHeight="1" s="23">
      <c r="A14" s="25" t="inlineStr">
        <is>
          <t>T-013</t>
        </is>
      </c>
      <c r="B14" s="26" t="inlineStr">
        <is>
          <t>0 Foundations</t>
        </is>
      </c>
      <c r="C14" s="27" t="inlineStr">
        <is>
          <t>Build Log</t>
        </is>
      </c>
      <c r="D14" s="27" t="inlineStr">
        <is>
          <t>Record every divergence found in Phase 0 against the skill's stated behaviour</t>
        </is>
      </c>
      <c r="E14" s="25" t="inlineStr">
        <is>
          <t>Documentation</t>
        </is>
      </c>
      <c r="F14" s="27" t="inlineStr">
        <is>
          <t>PLAN §10</t>
        </is>
      </c>
      <c r="G14" s="26" t="inlineStr">
        <is>
          <t>T-007</t>
        </is>
      </c>
      <c r="H14" s="25" t="n">
        <v>0.25</v>
      </c>
      <c r="I14" s="28" t="inlineStr">
        <is>
          <t>Opus 5</t>
        </is>
      </c>
      <c r="J14" s="29" t="inlineStr">
        <is>
          <t>Complete</t>
        </is>
      </c>
      <c r="K14" s="30" t="n">
        <v>1</v>
      </c>
      <c r="L14" s="31" t="n">
        <v>46284</v>
      </c>
      <c r="M14" s="31" t="n">
        <v>46284</v>
      </c>
      <c r="N14" s="28" t="n">
        <v>0.25</v>
      </c>
      <c r="O14" s="32" t="inlineStr">
        <is>
          <t>Build Log entries BL-009 through BL-018 in build-and-traceability.xlsx. BL-014 ("nothing has ever been executed") is closed out by the first real deployment, and BL-015 through BL-018 record what that deployment found. Actual Days is filled only for the Phase 0 tasks executed against the server; the authoring tasks T-009 through T-013 were not separately timed.</t>
        </is>
      </c>
    </row>
    <row r="15" ht="15" customHeight="1" s="23">
      <c r="A15" s="25" t="inlineStr">
        <is>
          <t>T-014</t>
        </is>
      </c>
      <c r="B15" s="26" t="inlineStr">
        <is>
          <t>1 Tenancy</t>
        </is>
      </c>
      <c r="C15" s="27" t="inlineStr">
        <is>
          <t>030_auth_tenant.sql</t>
        </is>
      </c>
      <c r="D15" s="27" t="inlineStr">
        <is>
          <t>auth.Application — table, indexes, descriptions</t>
        </is>
      </c>
      <c r="E15" s="25" t="inlineStr">
        <is>
          <t>Table</t>
        </is>
      </c>
      <c r="F15" s="27" t="inlineStr">
        <is>
          <t>DES §15.2, D-09</t>
        </is>
      </c>
      <c r="G15" s="26" t="inlineStr">
        <is>
          <t>T-010</t>
        </is>
      </c>
      <c r="H15" s="25" t="n">
        <v>0.5</v>
      </c>
      <c r="I15" s="28" t="inlineStr">
        <is>
          <t>Opus 5</t>
        </is>
      </c>
      <c r="J15" s="44" t="inlineStr">
        <is>
          <t>Complete</t>
        </is>
      </c>
      <c r="K15" s="30" t="n">
        <v>1</v>
      </c>
      <c r="L15" s="31" t="n">
        <v>46284</v>
      </c>
      <c r="M15" s="31" t="n">
        <v>46284</v>
      </c>
      <c r="N15" s="28" t="n">
        <v>0.1</v>
      </c>
      <c r="O15" s="32" t="inlineStr">
        <is>
          <t>database/030_auth_tenant.sql section 1. ApplicationCode unique where IsDeleted = 0, the seven audit columns, descriptions on the table and every column. It is what lets several independent tenant trees coexist in one database, which is the only way to test that a scope expressed at one root cannot reach another -- and the three variant trees of T-022 are three rows here, not three databases.</t>
        </is>
      </c>
    </row>
    <row r="16" ht="15" customHeight="1" s="23">
      <c r="A16" s="25" t="inlineStr">
        <is>
          <t>T-015</t>
        </is>
      </c>
      <c r="B16" s="26" t="inlineStr">
        <is>
          <t>1 Tenancy</t>
        </is>
      </c>
      <c r="C16" s="27" t="inlineStr">
        <is>
          <t>030_auth_tenant.sql</t>
        </is>
      </c>
      <c r="D16" s="27" t="inlineStr">
        <is>
          <t>auth.TenantType — table and seven seeded types</t>
        </is>
      </c>
      <c r="E16" s="25" t="inlineStr">
        <is>
          <t>Table</t>
        </is>
      </c>
      <c r="F16" s="27" t="inlineStr">
        <is>
          <t>DES §5.2</t>
        </is>
      </c>
      <c r="G16" s="26" t="inlineStr">
        <is>
          <t>T-014</t>
        </is>
      </c>
      <c r="H16" s="25" t="n">
        <v>0.5</v>
      </c>
      <c r="I16" s="28" t="inlineStr">
        <is>
          <t>Opus 5</t>
        </is>
      </c>
      <c r="J16" s="44" t="inlineStr">
        <is>
          <t>Complete</t>
        </is>
      </c>
      <c r="K16" s="30" t="n">
        <v>1</v>
      </c>
      <c r="L16" s="31" t="n">
        <v>46284</v>
      </c>
      <c r="M16" s="31" t="n">
        <v>46284</v>
      </c>
      <c r="N16" s="28" t="n">
        <v>0.1</v>
      </c>
      <c r="O16" s="32" t="inlineStr">
        <is>
          <t>database/030_auth_tenant.sql section 2. The seven types are seeded by MERGE in THIS file rather than in 115_seed_reference_data.sql, because auth.Tenant's composite foreign key needs them before any tenant row can exist -- BL-021, and 115 must not re-seed them. _tests/020 asserts that all seven are exercised, which is how the three variant shapes were chosen rather than invented.</t>
        </is>
      </c>
    </row>
    <row r="17" ht="23.25" customHeight="1" s="23">
      <c r="A17" s="25" t="inlineStr">
        <is>
          <t>T-016</t>
        </is>
      </c>
      <c r="B17" s="26" t="inlineStr">
        <is>
          <t>1 Tenancy</t>
        </is>
      </c>
      <c r="C17" s="27" t="inlineStr">
        <is>
          <t>030_auth_tenant.sql</t>
        </is>
      </c>
      <c r="D17" s="27" t="inlineStr">
        <is>
          <t>auth.Tenant — table, self-referencing FK, CK_auth_Tenant_RootHasNoParent, filtered unique keys</t>
        </is>
      </c>
      <c r="E17" s="25" t="inlineStr">
        <is>
          <t>Table</t>
        </is>
      </c>
      <c r="F17" s="27" t="inlineStr">
        <is>
          <t>DES §15.2, INV-02</t>
        </is>
      </c>
      <c r="G17" s="26" t="inlineStr">
        <is>
          <t>T-015</t>
        </is>
      </c>
      <c r="H17" s="25" t="n">
        <v>1</v>
      </c>
      <c r="I17" s="28" t="inlineStr">
        <is>
          <t>Opus 5</t>
        </is>
      </c>
      <c r="J17" s="44" t="inlineStr">
        <is>
          <t>Complete</t>
        </is>
      </c>
      <c r="K17" s="30" t="n">
        <v>1</v>
      </c>
      <c r="L17" s="31" t="n">
        <v>46284</v>
      </c>
      <c r="M17" s="31" t="n">
        <v>46284</v>
      </c>
      <c r="N17" s="28" t="n">
        <v>0.2</v>
      </c>
      <c r="O17" s="32" t="inlineStr">
        <is>
          <t>database/030_auth_tenant.sql section 3. Self-referencing FK, CK_auth_Tenant_RootHasNoParent, CK_auth_Tenant_NotOwnParent, CK_auth_Tenant_TenantCode, and two filtered unique indexes -- UX_auth_Tenant_ApplicationCode and UX_auth_Tenant_ApplicationRoot, the latter being the half of INV-02 a constraint can enforce. Carries a denormalised TenantTypeCode proved by a composite FK against an unfiltered UNIQUE: reaching the code through a scalar function was tried and MEASURED to break re-runnability at error 3729 -- BL-019.</t>
        </is>
      </c>
    </row>
    <row r="18" ht="15" customHeight="1" s="23">
      <c r="A18" s="25" t="inlineStr">
        <is>
          <t>T-017</t>
        </is>
      </c>
      <c r="B18" s="26" t="inlineStr">
        <is>
          <t>1 Tenancy</t>
        </is>
      </c>
      <c r="C18" s="27" t="inlineStr">
        <is>
          <t>030_auth_tenant.sql</t>
        </is>
      </c>
      <c r="D18" s="27" t="inlineStr">
        <is>
          <t>auth.TenantClosure — table with depth-0 self rows, PK on the pair</t>
        </is>
      </c>
      <c r="E18" s="25" t="inlineStr">
        <is>
          <t>Table</t>
        </is>
      </c>
      <c r="F18" s="27" t="inlineStr">
        <is>
          <t>DES §5.3</t>
        </is>
      </c>
      <c r="G18" s="26" t="inlineStr">
        <is>
          <t>T-016</t>
        </is>
      </c>
      <c r="H18" s="25" t="n">
        <v>0.5</v>
      </c>
      <c r="I18" s="28" t="inlineStr">
        <is>
          <t>Opus 5</t>
        </is>
      </c>
      <c r="J18" s="44" t="inlineStr">
        <is>
          <t>Complete</t>
        </is>
      </c>
      <c r="K18" s="30" t="n">
        <v>1</v>
      </c>
      <c r="L18" s="31" t="n">
        <v>46284</v>
      </c>
      <c r="M18" s="31" t="n">
        <v>46284</v>
      </c>
      <c r="N18" s="28" t="n">
        <v>0.1</v>
      </c>
      <c r="O18" s="32" t="inlineStr">
        <is>
          <t>database/030_auth_tenant.sql section 4. PK on (AncestorTenantId, DescendantTenantId), a covering index on the descendant, and a depth-0 self row for every tenant. It deliberately does NOT filter soft-deleted tenants -- BL-020. A closure built over live rows only would drop a deleted mid-tree tenant from its descendants' ancestor set, and auth.udfIsTenantUsable would then fail OPEN for every program beneath it.</t>
        </is>
      </c>
    </row>
    <row r="19" ht="15" customHeight="1" s="23">
      <c r="A19" s="25" t="inlineStr">
        <is>
          <t>T-018</t>
        </is>
      </c>
      <c r="B19" s="26" t="inlineStr">
        <is>
          <t>1 Tenancy</t>
        </is>
      </c>
      <c r="C19" s="27" t="inlineStr">
        <is>
          <t>125_auth_tenant_procedures.sql</t>
        </is>
      </c>
      <c r="D19" s="27" t="inlineStr">
        <is>
          <t>auth.uspRebuildTenantClosure — full rebuild in one transaction, idempotent</t>
        </is>
      </c>
      <c r="E19" s="25" t="inlineStr">
        <is>
          <t>Procedure</t>
        </is>
      </c>
      <c r="F19" s="27" t="inlineStr">
        <is>
          <t>DES §5.3</t>
        </is>
      </c>
      <c r="G19" s="26" t="inlineStr">
        <is>
          <t>T-017</t>
        </is>
      </c>
      <c r="H19" s="25" t="n">
        <v>1</v>
      </c>
      <c r="I19" s="28" t="inlineStr">
        <is>
          <t>Opus 5</t>
        </is>
      </c>
      <c r="J19" s="44" t="inlineStr">
        <is>
          <t>Complete</t>
        </is>
      </c>
      <c r="K19" s="30" t="n">
        <v>1</v>
      </c>
      <c r="L19" s="31" t="n">
        <v>46284</v>
      </c>
      <c r="M19" s="31" t="n">
        <v>46284</v>
      </c>
      <c r="N19" s="28" t="n">
        <v>0.2</v>
      </c>
      <c r="O19" s="32" t="inlineStr">
        <is>
          <t>database/125_auth_tenant_procedures.sql section 1. Parameterless whole-table rebuild: a recursive CTE over the parent edges into one MERGE, in one transaction, under OPTION (MAXRECURSION 100). No hard delete anywhere -- a pair the new shape no longer needs is soft-deleted and kept. The only Phase 1 procedure that is callable today, because it takes no session token and demands no permission; the fixtures use it. _tests/030 proves it correct after a re-parenting, silent on a second run, and loud on a cycle.</t>
        </is>
      </c>
    </row>
    <row r="20" ht="15" customHeight="1" s="23">
      <c r="A20" s="25" t="inlineStr">
        <is>
          <t>T-019</t>
        </is>
      </c>
      <c r="B20" s="26" t="inlineStr">
        <is>
          <t>1 Tenancy</t>
        </is>
      </c>
      <c r="C20" s="27" t="inlineStr">
        <is>
          <t>100_auth_functions.sql</t>
        </is>
      </c>
      <c r="D20" s="27" t="inlineStr">
        <is>
          <t>auth.udfIsTenantUsable — tenant and every ancestor active and not deleted</t>
        </is>
      </c>
      <c r="E20" s="25" t="inlineStr">
        <is>
          <t>Function</t>
        </is>
      </c>
      <c r="F20" s="27" t="inlineStr">
        <is>
          <t>DES §5.4</t>
        </is>
      </c>
      <c r="G20" s="26" t="inlineStr">
        <is>
          <t>T-017</t>
        </is>
      </c>
      <c r="H20" s="25" t="n">
        <v>0.5</v>
      </c>
      <c r="I20" s="28" t="inlineStr">
        <is>
          <t>Opus 5</t>
        </is>
      </c>
      <c r="J20" s="44" t="inlineStr">
        <is>
          <t>Complete</t>
        </is>
      </c>
      <c r="K20" s="30" t="n">
        <v>1</v>
      </c>
      <c r="L20" s="31" t="n">
        <v>46284</v>
      </c>
      <c r="M20" s="31" t="n">
        <v>46284</v>
      </c>
      <c r="N20" s="28" t="n">
        <v>0.1</v>
      </c>
      <c r="O20" s="32" t="inlineStr">
        <is>
          <t>database/100_auth_functions.sql section 1. One RETURN of a CASE over two EXISTS so Froid inlines it, and no SCHEMABINDING -- this design schema-binds only the three RLS predicates. Fails closed three ways: an absent tenant, an unbuilt closure and a NULL argument all return 0. Two of the three are asserted in the script's own closing report, so the claim is re-checked on every deployment rather than resting in a comment.</t>
        </is>
      </c>
    </row>
    <row r="21" ht="15" customHeight="1" s="23">
      <c r="A21" s="25" t="inlineStr">
        <is>
          <t>T-020</t>
        </is>
      </c>
      <c r="B21" s="26" t="inlineStr">
        <is>
          <t>1 Tenancy</t>
        </is>
      </c>
      <c r="C21" s="27" t="inlineStr">
        <is>
          <t>095_auth_views.sql</t>
        </is>
      </c>
      <c r="D21" s="27" t="inlineStr">
        <is>
          <t>auth.vwTenantHierarchy — full path from root, depth, type label</t>
        </is>
      </c>
      <c r="E21" s="25" t="inlineStr">
        <is>
          <t>View</t>
        </is>
      </c>
      <c r="F21" s="27" t="inlineStr">
        <is>
          <t>DES §15.6</t>
        </is>
      </c>
      <c r="G21" s="26" t="inlineStr">
        <is>
          <t>T-018</t>
        </is>
      </c>
      <c r="H21" s="25" t="n">
        <v>0.5</v>
      </c>
      <c r="I21" s="28" t="inlineStr">
        <is>
          <t>Opus 5</t>
        </is>
      </c>
      <c r="J21" s="44" t="inlineStr">
        <is>
          <t>Complete</t>
        </is>
      </c>
      <c r="K21" s="30" t="n">
        <v>1</v>
      </c>
      <c r="L21" s="31" t="n">
        <v>46284</v>
      </c>
      <c r="M21" s="31" t="n">
        <v>46284</v>
      </c>
      <c r="N21" s="28" t="n">
        <v>0.1</v>
      </c>
      <c r="O21" s="32" t="inlineStr">
        <is>
          <t>database/095_auth_views.sql. Recursive CTE giving TenantPath, Depth, the type label and AnyAncestorInactive. It installs BEFORE 100_auth_functions.sql and therefore cannot call auth.udfIsTenantUsable: a view resolves names at CREATE time, where a procedure gets deferred resolution. AnyAncestorInactive is documented as NOT a usability verdict for exactly that reason -- the verdict has one definition and it is the function, which uspGetTenantTree calls per node.</t>
        </is>
      </c>
    </row>
    <row r="22" ht="23.25" customHeight="1" s="23">
      <c r="A22" s="25" t="inlineStr">
        <is>
          <t>T-021</t>
        </is>
      </c>
      <c r="B22" s="26" t="inlineStr">
        <is>
          <t>1 Tenancy</t>
        </is>
      </c>
      <c r="C22" s="27" t="inlineStr">
        <is>
          <t>125_auth_tenant_procedures.sql</t>
        </is>
      </c>
      <c r="D22" s="27" t="inlineStr">
        <is>
          <t>uspCreateTenant, uspUpdateTenant, uspDeactivateTenant, uspGetTenantTree — each calling the closure rebuild</t>
        </is>
      </c>
      <c r="E22" s="25" t="inlineStr">
        <is>
          <t>Procedure</t>
        </is>
      </c>
      <c r="F22" s="27" t="inlineStr">
        <is>
          <t>DES §5.3</t>
        </is>
      </c>
      <c r="G22" s="26" t="inlineStr">
        <is>
          <t>T-018</t>
        </is>
      </c>
      <c r="H22" s="25" t="n">
        <v>1.5</v>
      </c>
      <c r="I22" s="28" t="inlineStr">
        <is>
          <t>Opus 5</t>
        </is>
      </c>
      <c r="J22" s="44" t="inlineStr">
        <is>
          <t>Complete</t>
        </is>
      </c>
      <c r="K22" s="30" t="n">
        <v>1</v>
      </c>
      <c r="L22" s="31" t="n">
        <v>46284</v>
      </c>
      <c r="M22" s="31" t="n">
        <v>46284</v>
      </c>
      <c r="N22" s="28" t="n">
        <v>0.25</v>
      </c>
      <c r="O22" s="32" t="inlineStr">
        <is>
          <t>database/125_auth_tenant_procedures.sql sections 2-5. uspCreateTenant, uspUpdateTenant and uspDeactivateTenant carry the full rule 8 instrumentation including the resurrection block; uspGetTenantTree is error-only. uspUpdateTenant refuses a move beneath the tenant's own descendant by reading the closure (50095) and demands Tenant.Update at the new parent as well as at the tenant. All four INSTALL today and cannot be CALLED until Phase 3 -- they reference auth.uspSetSessionContext and auth.uspDemandPermission, and a call before those exist fails with 2812. A conditional gate around the permission demands was rejected: that is finding F-07's shape, where a check skipped when its dependency is absent becomes a check that is skipped.</t>
        </is>
      </c>
    </row>
    <row r="23" ht="15" customHeight="1" s="23">
      <c r="A23" s="25" t="inlineStr">
        <is>
          <t>T-022</t>
        </is>
      </c>
      <c r="B23" s="26" t="inlineStr">
        <is>
          <t>1 Tenancy</t>
        </is>
      </c>
      <c r="C23" s="27" t="inlineStr">
        <is>
          <t>database/_tests/020_tenancy_variant_trees.sql</t>
        </is>
      </c>
      <c r="D23" s="27" t="inlineStr">
        <is>
          <t>Build all three variant tenant trees from script</t>
        </is>
      </c>
      <c r="E23" s="25" t="inlineStr">
        <is>
          <t>Test</t>
        </is>
      </c>
      <c r="F23" s="27" t="inlineStr">
        <is>
          <t>DES §17</t>
        </is>
      </c>
      <c r="G23" s="26" t="inlineStr">
        <is>
          <t>T-021</t>
        </is>
      </c>
      <c r="H23" s="25" t="n">
        <v>1</v>
      </c>
      <c r="I23" s="28" t="inlineStr">
        <is>
          <t>Opus 5</t>
        </is>
      </c>
      <c r="J23" s="44" t="inlineStr">
        <is>
          <t>Complete</t>
        </is>
      </c>
      <c r="K23" s="30" t="n">
        <v>1</v>
      </c>
      <c r="L23" s="31" t="n">
        <v>46284</v>
      </c>
      <c r="M23" s="31" t="n">
        <v>46284</v>
      </c>
      <c r="N23" s="28" t="n">
        <v>0.2</v>
      </c>
      <c r="O23" s="32" t="inlineStr">
        <is>
          <t>Three applications and 23 tenants, MERGE throughout so it converges on a populated database. It writes auth.Tenant directly rather than calling auth.uspCreateTenant -- 2812 today, and the three ROOTS could never go through it in any case, because it refuses roots by design (50094, INV-02). Because the MERGE restates every parent it also undoes what T-023 moves, which is what lets T-023 be unconditional. Verified: 4/9/10 tenants, closure 7/27/26 = SUM (Depth + 1) per application, all seven tenant types used exactly once, and no closure pair crossing an application.</t>
        </is>
      </c>
    </row>
    <row r="24" ht="23.25" customHeight="1" s="23">
      <c r="A24" s="25" t="inlineStr">
        <is>
          <t>T-023</t>
        </is>
      </c>
      <c r="B24" s="26" t="inlineStr">
        <is>
          <t>1 Tenancy</t>
        </is>
      </c>
      <c r="C24" s="27" t="inlineStr">
        <is>
          <t>database/_tests/030_tenancy_closure_reparent.sql</t>
        </is>
      </c>
      <c r="D24" s="27" t="inlineStr">
        <is>
          <t>Re-parent a populated subtree and assert the closure is still correct — the case an incremental algorithm gets wrong</t>
        </is>
      </c>
      <c r="E24" s="25" t="inlineStr">
        <is>
          <t>Test</t>
        </is>
      </c>
      <c r="F24" s="27" t="inlineStr">
        <is>
          <t>DES §5.3</t>
        </is>
      </c>
      <c r="G24" s="26" t="inlineStr">
        <is>
          <t>T-022</t>
        </is>
      </c>
      <c r="H24" s="25" t="n">
        <v>0.5</v>
      </c>
      <c r="I24" s="28" t="inlineStr">
        <is>
          <t>Opus 5</t>
        </is>
      </c>
      <c r="J24" s="44" t="inlineStr">
        <is>
          <t>Complete</t>
        </is>
      </c>
      <c r="K24" s="30" t="n">
        <v>1</v>
      </c>
      <c r="L24" s="31" t="n">
        <v>46284</v>
      </c>
      <c r="M24" s="31" t="n">
        <v>46284</v>
      </c>
      <c r="N24" s="28" t="n">
        <v>0.1</v>
      </c>
      <c r="O24" s="32" t="inlineStr">
        <is>
          <t>Three movements on VARIANT2 -- deepen, re-root, restore -- chosen to exercise the three MERGE branches. The re-root retires four pairs, two of them for a grandchild nothing wrote to: THE CASE AN INCREMENTAL ALGORITHM GETS WRONG. The round trip is identical to the baseline on (ancestor, descendant, depth), and a second rebuild is identical including auditModifiedDateUtc -- a stronger claim than 'same answer', because it rules out a MERGE that rewrites every row to the value it already held and destroys the audit trail. Also proves that a cycle raises 530, leaves the closure intact, and is recorded in logs.ExecutionLog with ReCreatedAfterRollback = 0.</t>
        </is>
      </c>
    </row>
    <row r="25" ht="15" customHeight="1" s="23">
      <c r="A25" s="25" t="inlineStr">
        <is>
          <t>T-024</t>
        </is>
      </c>
      <c r="B25" s="26" t="inlineStr">
        <is>
          <t>1 Tenancy</t>
        </is>
      </c>
      <c r="C25" s="27" t="inlineStr">
        <is>
          <t>030_auth_tenant.sql</t>
        </is>
      </c>
      <c r="D25" s="27" t="inlineStr">
        <is>
          <t>MS_Description on every Phase 1 table and column</t>
        </is>
      </c>
      <c r="E25" s="25" t="inlineStr">
        <is>
          <t>Documentation</t>
        </is>
      </c>
      <c r="F25" s="27" t="inlineStr">
        <is>
          <t>Conventions rule 4</t>
        </is>
      </c>
      <c r="G25" s="26" t="inlineStr">
        <is>
          <t>T-018</t>
        </is>
      </c>
      <c r="H25" s="25" t="n">
        <v>0.5</v>
      </c>
      <c r="I25" s="28" t="inlineStr">
        <is>
          <t>Opus 5</t>
        </is>
      </c>
      <c r="J25" s="44" t="inlineStr">
        <is>
          <t>Complete</t>
        </is>
      </c>
      <c r="K25" s="30" t="n">
        <v>1</v>
      </c>
      <c r="L25" s="31" t="n">
        <v>46284</v>
      </c>
      <c r="M25" s="31" t="n">
        <v>46284</v>
      </c>
      <c r="N25" s="28" t="n">
        <v>0.05</v>
      </c>
      <c r="O25" s="32" t="inlineStr">
        <is>
          <t>database/030_auth_tenant.sql section 6, with the matching sections of 095, 100 and 125. The deployment transcript reports 47 of 47 columns carrying MS_Description and 5 of 5 procedures carrying a description. The counts are computed by the scripts themselves against sys.columns and sys.extended_properties, so a column added later without a description appears in the next transcript rather than waiting to be noticed by a reader comparing two lists.</t>
        </is>
      </c>
    </row>
    <row r="26" ht="23.25" customHeight="1" s="23">
      <c r="A26" s="25" t="inlineStr">
        <is>
          <t>T-025</t>
        </is>
      </c>
      <c r="B26" s="26" t="inlineStr">
        <is>
          <t>2 Identity</t>
        </is>
      </c>
      <c r="C26" s="27" t="inlineStr">
        <is>
          <t>040_auth_userprofile.sql</t>
        </is>
      </c>
      <c r="D26" s="27" t="inlineStr">
        <is>
          <t>auth.User — including IsPlatformAdmin, lockout columns, AuthPolicyOverrideJson with ISJSON check</t>
        </is>
      </c>
      <c r="E26" s="25" t="inlineStr">
        <is>
          <t>Table</t>
        </is>
      </c>
      <c r="F26" s="27" t="inlineStr">
        <is>
          <t>DES §15.3, D-05</t>
        </is>
      </c>
      <c r="G26" s="26" t="inlineStr">
        <is>
          <t>T-016</t>
        </is>
      </c>
      <c r="H26" s="25" t="n">
        <v>1</v>
      </c>
      <c r="I26" s="28" t="inlineStr">
        <is>
          <t>Opus 5</t>
        </is>
      </c>
      <c r="J26" s="28" t="inlineStr">
        <is>
          <t>Complete</t>
        </is>
      </c>
      <c r="K26" s="30" t="n">
        <v>1</v>
      </c>
      <c r="L26" s="31" t="n">
        <v>46284</v>
      </c>
      <c r="M26" s="31" t="n">
        <v>46284</v>
      </c>
      <c r="N26" s="28" t="n">
        <v>0.3</v>
      </c>
      <c r="O26" s="32" t="inlineStr">
        <is>
          <t>database/040_auth_userprofile.sql. auth.User only -- NOT tenant-scoped (DES section 6.1), UserName unique where IsDeleted = 0 and immutable by trigger, Email deliberately NOT unique. USER is a reserved word, so the table is auth.[User] everywhere: BL-027. auth.UserProfile is NOT in this file and is T-046, Phase 3 -- BL-025.</t>
        </is>
      </c>
    </row>
    <row r="27" ht="15" customHeight="1" s="23">
      <c r="A27" s="25" t="inlineStr">
        <is>
          <t>T-026</t>
        </is>
      </c>
      <c r="B27" s="26" t="inlineStr">
        <is>
          <t>2 Identity</t>
        </is>
      </c>
      <c r="C27" s="27" t="inlineStr">
        <is>
          <t>045_auth_identity.sql</t>
        </is>
      </c>
      <c r="D27" s="27" t="inlineStr">
        <is>
          <t>auth.UserCredential and auth.PasswordHistory — PHC verifier storage</t>
        </is>
      </c>
      <c r="E27" s="25" t="inlineStr">
        <is>
          <t>Table</t>
        </is>
      </c>
      <c r="F27" s="27" t="inlineStr">
        <is>
          <t>DES §6.2, D-08</t>
        </is>
      </c>
      <c r="G27" s="26" t="inlineStr">
        <is>
          <t>T-025</t>
        </is>
      </c>
      <c r="H27" s="25" t="n">
        <v>0.75</v>
      </c>
      <c r="I27" s="28" t="inlineStr">
        <is>
          <t>Opus 5</t>
        </is>
      </c>
      <c r="J27" s="28" t="inlineStr">
        <is>
          <t>Complete</t>
        </is>
      </c>
      <c r="K27" s="30" t="n">
        <v>1</v>
      </c>
      <c r="L27" s="31" t="n">
        <v>46284</v>
      </c>
      <c r="M27" s="31" t="n">
        <v>46284</v>
      </c>
      <c r="N27" s="28" t="n">
        <v>0.2</v>
      </c>
      <c r="O27" s="32" t="inlineStr">
        <is>
          <t>database/045_auth_identity.sql. auth.UserCredential carries the Argon2id PHC string only; the database never sees a password and never computes a digest (D-08). Proved end to end by tools/T040-PasswordVerification, which computes the digest client-side.</t>
        </is>
      </c>
    </row>
    <row r="28" ht="23.25" customHeight="1" s="23">
      <c r="A28" s="25" t="inlineStr">
        <is>
          <t>T-027</t>
        </is>
      </c>
      <c r="B28" s="26" t="inlineStr">
        <is>
          <t>2 Identity</t>
        </is>
      </c>
      <c r="C28" s="27" t="inlineStr">
        <is>
          <t>045_auth_identity.sql</t>
        </is>
      </c>
      <c r="D28" s="27" t="inlineStr">
        <is>
          <t>auth.UserFederatedIdentity — unique on (Issuer, SubjectId), no unique index on email</t>
        </is>
      </c>
      <c r="E28" s="25" t="inlineStr">
        <is>
          <t>Table</t>
        </is>
      </c>
      <c r="F28" s="27" t="inlineStr">
        <is>
          <t>DES §6.1, INV-07</t>
        </is>
      </c>
      <c r="G28" s="26" t="inlineStr">
        <is>
          <t>T-025</t>
        </is>
      </c>
      <c r="H28" s="25" t="n">
        <v>0.5</v>
      </c>
      <c r="I28" s="28" t="inlineStr">
        <is>
          <t>Opus 5</t>
        </is>
      </c>
      <c r="J28" s="28" t="inlineStr">
        <is>
          <t>Complete</t>
        </is>
      </c>
      <c r="K28" s="30" t="n">
        <v>1</v>
      </c>
      <c r="L28" s="31" t="n">
        <v>46284</v>
      </c>
      <c r="M28" s="31" t="n">
        <v>46284</v>
      </c>
      <c r="N28" s="28" t="n">
        <v>0.15</v>
      </c>
      <c r="O28" s="32" t="inlineStr">
        <is>
          <t>database/045_auth_identity.sql. Unique on (Issuer, SubjectId) where IsDeleted = 0 -- INV-07. _tests/040 section 9 signs erin in federated with ZERO credential rows, and a wrong SubjectId is refused E-50113 having created no user.</t>
        </is>
      </c>
    </row>
    <row r="29" ht="23.25" customHeight="1" s="23">
      <c r="A29" s="25" t="inlineStr">
        <is>
          <t>T-028</t>
        </is>
      </c>
      <c r="B29" s="26" t="inlineStr">
        <is>
          <t>2 Identity</t>
        </is>
      </c>
      <c r="C29" s="27" t="inlineStr">
        <is>
          <t>045_auth_identity.sql</t>
        </is>
      </c>
      <c r="D29" s="27" t="inlineStr">
        <is>
          <t>auth.UserMfaFactor and auth.UserMfaRecoveryCode — encrypted secret, KeyReference, hashed single-use codes</t>
        </is>
      </c>
      <c r="E29" s="25" t="inlineStr">
        <is>
          <t>Table</t>
        </is>
      </c>
      <c r="F29" s="27" t="inlineStr">
        <is>
          <t>DES §6.2</t>
        </is>
      </c>
      <c r="G29" s="26" t="inlineStr">
        <is>
          <t>T-025</t>
        </is>
      </c>
      <c r="H29" s="25" t="n">
        <v>0.75</v>
      </c>
      <c r="I29" s="28" t="inlineStr">
        <is>
          <t>Opus 5</t>
        </is>
      </c>
      <c r="J29" s="28" t="inlineStr">
        <is>
          <t>Complete</t>
        </is>
      </c>
      <c r="K29" s="30" t="n">
        <v>1</v>
      </c>
      <c r="L29" s="31" t="n">
        <v>46284</v>
      </c>
      <c r="M29" s="31" t="n">
        <v>46284</v>
      </c>
      <c r="N29" s="28" t="n">
        <v>0.25</v>
      </c>
      <c r="O29" s="32" t="inlineStr">
        <is>
          <t>database/045_auth_identity.sql. auth.UserMfaFactor carries LastUsedTimeStep, without which TOTP replay inside one time step is undetectable. auth.UserMfaRecoveryCode is unique on (UserId, CodeHash) filtered -- the design said CodeHash alone and was amended, DES section 15.3.</t>
        </is>
      </c>
    </row>
    <row r="30" ht="23.25" customHeight="1" s="23">
      <c r="A30" s="25" t="inlineStr">
        <is>
          <t>T-029</t>
        </is>
      </c>
      <c r="B30" s="26" t="inlineStr">
        <is>
          <t>2 Identity</t>
        </is>
      </c>
      <c r="C30" s="27" t="inlineStr">
        <is>
          <t>045_auth_identity.sql</t>
        </is>
      </c>
      <c r="D30" s="27" t="inlineStr">
        <is>
          <t>auth.LoginAttempt — indexed for both the per-account and per-address lockout questions</t>
        </is>
      </c>
      <c r="E30" s="25" t="inlineStr">
        <is>
          <t>Table</t>
        </is>
      </c>
      <c r="F30" s="27" t="inlineStr">
        <is>
          <t>DES §7.4</t>
        </is>
      </c>
      <c r="G30" s="26" t="inlineStr">
        <is>
          <t>T-025</t>
        </is>
      </c>
      <c r="H30" s="25" t="n">
        <v>0.5</v>
      </c>
      <c r="I30" s="28" t="inlineStr">
        <is>
          <t>Opus 5</t>
        </is>
      </c>
      <c r="J30" s="28" t="inlineStr">
        <is>
          <t>Complete</t>
        </is>
      </c>
      <c r="K30" s="30" t="n">
        <v>1</v>
      </c>
      <c r="L30" s="31" t="n">
        <v>46284</v>
      </c>
      <c r="M30" s="31" t="n">
        <v>46284</v>
      </c>
      <c r="N30" s="28" t="n">
        <v>0.15</v>
      </c>
      <c r="O30" s="32" t="inlineStr">
        <is>
          <t>database/045_auth_identity.sql. auth.LoginAttempt is indexed for both throttle arms and is also the sign-in EXCHANGE row (D-14): one attempt row spans round trip 1, the second factor and completion.</t>
        </is>
      </c>
    </row>
    <row r="31" ht="15" customHeight="1" s="23">
      <c r="A31" s="25" t="inlineStr">
        <is>
          <t>T-030</t>
        </is>
      </c>
      <c r="B31" s="26" t="inlineStr">
        <is>
          <t>2 Identity</t>
        </is>
      </c>
      <c r="C31" s="27" t="inlineStr">
        <is>
          <t>070_auth_session.sql</t>
        </is>
      </c>
      <c r="D31" s="27" t="inlineStr">
        <is>
          <t>auth.UserSession — token stored as SHA-256 hash only</t>
        </is>
      </c>
      <c r="E31" s="25" t="inlineStr">
        <is>
          <t>Table</t>
        </is>
      </c>
      <c r="F31" s="27" t="inlineStr">
        <is>
          <t>DES §7.3</t>
        </is>
      </c>
      <c r="G31" s="26" t="inlineStr">
        <is>
          <t>T-025</t>
        </is>
      </c>
      <c r="H31" s="25" t="n">
        <v>0.75</v>
      </c>
      <c r="I31" s="28" t="inlineStr">
        <is>
          <t>Opus 5</t>
        </is>
      </c>
      <c r="J31" s="28" t="inlineStr">
        <is>
          <t>Complete</t>
        </is>
      </c>
      <c r="K31" s="30" t="n">
        <v>1</v>
      </c>
      <c r="L31" s="31" t="n">
        <v>46284</v>
      </c>
      <c r="M31" s="31" t="n">
        <v>46284</v>
      </c>
      <c r="N31" s="28" t="n">
        <v>0.25</v>
      </c>
      <c r="O31" s="32" t="inlineStr">
        <is>
          <t>database/070_auth_session.sql. Token stored as a SHA-256 hash; EndedUtc is write-once, enforced by a trigger raising E-50010 (not 50011 -- 50011 is the domain TenantId rule). CHECK enforces INV-08: IsBypassRoute = 1 requires MfaSatisfied = 1. _tests/040 section 8c defeats a direct INSERT with error 547.</t>
        </is>
      </c>
    </row>
    <row r="32" ht="15" customHeight="1" s="23">
      <c r="A32" s="25" t="inlineStr">
        <is>
          <t>T-031</t>
        </is>
      </c>
      <c r="B32" s="26" t="inlineStr">
        <is>
          <t>2 Identity</t>
        </is>
      </c>
      <c r="C32" s="27" t="inlineStr">
        <is>
          <t>035_auth_tenant_policy.sql</t>
        </is>
      </c>
      <c r="D32" s="27" t="inlineStr">
        <is>
          <t>auth.TenantAuthenticationPolicy and auth.TenantDefaultRole</t>
        </is>
      </c>
      <c r="E32" s="25" t="inlineStr">
        <is>
          <t>Table</t>
        </is>
      </c>
      <c r="F32" s="27" t="inlineStr">
        <is>
          <t>DES §7.2, §11.5</t>
        </is>
      </c>
      <c r="G32" s="26" t="inlineStr">
        <is>
          <t>T-016</t>
        </is>
      </c>
      <c r="H32" s="25" t="n">
        <v>0.75</v>
      </c>
      <c r="I32" s="28" t="inlineStr">
        <is>
          <t>Opus 5</t>
        </is>
      </c>
      <c r="J32" s="28" t="inlineStr">
        <is>
          <t>Complete</t>
        </is>
      </c>
      <c r="K32" s="30" t="n">
        <v>1</v>
      </c>
      <c r="L32" s="31" t="n">
        <v>46284</v>
      </c>
      <c r="M32" s="31" t="n">
        <v>46284</v>
      </c>
      <c r="N32" s="28" t="n">
        <v>0.2</v>
      </c>
      <c r="O32" s="32" t="inlineStr">
        <is>
          <t>database/035_auth_tenant_policy.sql. Policy inherits UP the tree; a tenant with no row uses its nearest ancestor's. _tests/040 puts the policy on the CHILD tenant with different values from the shipped defaults, so a session honouring 60/15 rather than 480/60 proves the policy was actually read.</t>
        </is>
      </c>
    </row>
    <row r="33" ht="23.25" customHeight="1" s="23">
      <c r="A33" s="25" t="inlineStr">
        <is>
          <t>T-032</t>
        </is>
      </c>
      <c r="B33" s="26" t="inlineStr">
        <is>
          <t>2 Identity</t>
        </is>
      </c>
      <c r="C33" s="27" t="inlineStr">
        <is>
          <t>100_auth_functions.sql</t>
        </is>
      </c>
      <c r="D33" s="27" t="inlineStr">
        <is>
          <t>auth.udfResolveAuthPolicy — walk the closure upward, take the lowest-depth match</t>
        </is>
      </c>
      <c r="E33" s="25" t="inlineStr">
        <is>
          <t>Function</t>
        </is>
      </c>
      <c r="F33" s="27" t="inlineStr">
        <is>
          <t>DES §7.2</t>
        </is>
      </c>
      <c r="G33" s="26" t="inlineStr">
        <is>
          <t>T-031</t>
        </is>
      </c>
      <c r="H33" s="25" t="n">
        <v>0.75</v>
      </c>
      <c r="I33" s="28" t="inlineStr">
        <is>
          <t>Opus 5</t>
        </is>
      </c>
      <c r="J33" s="28" t="inlineStr">
        <is>
          <t>Complete</t>
        </is>
      </c>
      <c r="K33" s="30" t="n">
        <v>1</v>
      </c>
      <c r="L33" s="31" t="n">
        <v>46284</v>
      </c>
      <c r="M33" s="31" t="n">
        <v>46284</v>
      </c>
      <c r="N33" s="28" t="n">
        <v>0.2</v>
      </c>
      <c r="O33" s="32" t="inlineStr">
        <is>
          <t>database/100_auth_functions.sql, extended. auth.udfResolveAuthPolicy walks the closure upward and returns the nearest policy; auth.udfIsUserUsable added alongside it. Both SCHEMABINDING.</t>
        </is>
      </c>
    </row>
    <row r="34" ht="15" customHeight="1" s="23">
      <c r="A34" s="25" t="inlineStr">
        <is>
          <t>T-033</t>
        </is>
      </c>
      <c r="B34" s="26" t="inlineStr">
        <is>
          <t>2 Identity</t>
        </is>
      </c>
      <c r="C34" s="27" t="inlineStr">
        <is>
          <t>085_logs_auth_tables.sql</t>
        </is>
      </c>
      <c r="D34" s="27" t="inlineStr">
        <is>
          <t>logs.AuthenticationEvent</t>
        </is>
      </c>
      <c r="E34" s="25" t="inlineStr">
        <is>
          <t>Table</t>
        </is>
      </c>
      <c r="F34" s="27" t="inlineStr">
        <is>
          <t>DES §15.5</t>
        </is>
      </c>
      <c r="G34" s="26" t="inlineStr">
        <is>
          <t>T-030</t>
        </is>
      </c>
      <c r="H34" s="25" t="n">
        <v>0.5</v>
      </c>
      <c r="I34" s="28" t="inlineStr">
        <is>
          <t>Opus 5</t>
        </is>
      </c>
      <c r="J34" s="28" t="inlineStr">
        <is>
          <t>Complete</t>
        </is>
      </c>
      <c r="K34" s="30" t="n">
        <v>1</v>
      </c>
      <c r="L34" s="31" t="n">
        <v>46284</v>
      </c>
      <c r="M34" s="31" t="n">
        <v>46284</v>
      </c>
      <c r="N34" s="28" t="n">
        <v>0.15</v>
      </c>
      <c r="O34" s="32" t="inlineStr">
        <is>
          <t>database/085_logs_auth_tables.sql. logs.AuthenticationEvent plus the authorization and session trails, written by the procedures in 110.</t>
        </is>
      </c>
    </row>
    <row r="35" ht="23.25" customHeight="1" s="23">
      <c r="A35" s="25" t="inlineStr">
        <is>
          <t>T-034</t>
        </is>
      </c>
      <c r="B35" s="26" t="inlineStr">
        <is>
          <t>2 Identity</t>
        </is>
      </c>
      <c r="C35" s="27" t="inlineStr">
        <is>
          <t>110_auth_authn_procedures.sql</t>
        </is>
      </c>
      <c r="D35" s="27" t="inlineStr">
        <is>
          <t>auth.uspGetLoginVerifier — including the dummy verifier for unknown, deleted, inactive and locked accounts</t>
        </is>
      </c>
      <c r="E35" s="25" t="inlineStr">
        <is>
          <t>Procedure</t>
        </is>
      </c>
      <c r="F35" s="27" t="inlineStr">
        <is>
          <t>DES §19.2, D-08</t>
        </is>
      </c>
      <c r="G35" s="26" t="inlineStr">
        <is>
          <t>T-026</t>
        </is>
      </c>
      <c r="H35" s="25" t="n">
        <v>1</v>
      </c>
      <c r="I35" s="28" t="inlineStr">
        <is>
          <t>Opus 5</t>
        </is>
      </c>
      <c r="J35" s="28" t="inlineStr">
        <is>
          <t>Complete</t>
        </is>
      </c>
      <c r="K35" s="30" t="n">
        <v>1</v>
      </c>
      <c r="L35" s="31" t="n">
        <v>46284</v>
      </c>
      <c r="M35" s="31" t="n">
        <v>46284</v>
      </c>
      <c r="N35" s="28" t="n">
        <v>0.4</v>
      </c>
      <c r="O35" s="32" t="inlineStr">
        <is>
          <t>database/110_auth_authn_procedures.sql. Returns a DERIVED dummy verifier for an unknown name -- HMAC of the name under Authn.DummyVerifierPepper -- so round trip 1 cannot be used to enumerate. Measured: 97 characters either way, same 31-character algorithm prefix, stable per name, different between names. 170_permissions.sql now denies both reading roles the table holding that pepper.</t>
        </is>
      </c>
    </row>
    <row r="36" ht="23.25" customHeight="1" s="23">
      <c r="A36" s="25" t="inlineStr">
        <is>
          <t>T-035</t>
        </is>
      </c>
      <c r="B36" s="26" t="inlineStr">
        <is>
          <t>2 Identity</t>
        </is>
      </c>
      <c r="C36" s="27" t="inlineStr">
        <is>
          <t>110_auth_authn_procedures.sql</t>
        </is>
      </c>
      <c r="D36" s="27" t="inlineStr">
        <is>
          <t>auth.uspCompleteLogin — session creation; reject bypass route without a satisfied second factor</t>
        </is>
      </c>
      <c r="E36" s="25" t="inlineStr">
        <is>
          <t>Procedure</t>
        </is>
      </c>
      <c r="F36" s="27" t="inlineStr">
        <is>
          <t>DES §7.1, INV-08</t>
        </is>
      </c>
      <c r="G36" s="26" t="inlineStr">
        <is>
          <t>T-034</t>
        </is>
      </c>
      <c r="H36" s="25" t="n">
        <v>1</v>
      </c>
      <c r="I36" s="28" t="inlineStr">
        <is>
          <t>Opus 5</t>
        </is>
      </c>
      <c r="J36" s="28" t="inlineStr">
        <is>
          <t>Complete</t>
        </is>
      </c>
      <c r="K36" s="30" t="n">
        <v>1</v>
      </c>
      <c r="L36" s="31" t="n">
        <v>46284</v>
      </c>
      <c r="M36" s="31" t="n">
        <v>46284</v>
      </c>
      <c r="N36" s="28" t="n">
        <v>0.5</v>
      </c>
      <c r="O36" s="32" t="inlineStr">
        <is>
          <t>database/110_auth_authn_procedures.sql. All three routes create sessions. Refuses E-50107 on bypass without a factor and E-50108 on bypass by a non-admin, and INV-09 is checked FIRST because 'this route is not yours' is the more fundamental refusal. Session lifetime and idle timeout come from the resolved policy.</t>
        </is>
      </c>
    </row>
    <row r="37" ht="23.25" customHeight="1" s="23">
      <c r="A37" s="25" t="inlineStr">
        <is>
          <t>T-036</t>
        </is>
      </c>
      <c r="B37" s="26" t="inlineStr">
        <is>
          <t>2 Identity</t>
        </is>
      </c>
      <c r="C37" s="27" t="inlineStr">
        <is>
          <t>110_auth_authn_procedures.sql</t>
        </is>
      </c>
      <c r="D37" s="27" t="inlineStr">
        <is>
          <t>auth.uspRecordLoginFailure — per-account and per-address lockout, thresholds from config</t>
        </is>
      </c>
      <c r="E37" s="25" t="inlineStr">
        <is>
          <t>Procedure</t>
        </is>
      </c>
      <c r="F37" s="27" t="inlineStr">
        <is>
          <t>DES §7.4</t>
        </is>
      </c>
      <c r="G37" s="26" t="inlineStr">
        <is>
          <t>T-034</t>
        </is>
      </c>
      <c r="H37" s="25" t="n">
        <v>1</v>
      </c>
      <c r="I37" s="28" t="inlineStr">
        <is>
          <t>Opus 5</t>
        </is>
      </c>
      <c r="J37" s="28" t="inlineStr">
        <is>
          <t>Complete</t>
        </is>
      </c>
      <c r="K37" s="30" t="n">
        <v>1</v>
      </c>
      <c r="L37" s="31" t="n">
        <v>46284</v>
      </c>
      <c r="M37" s="31" t="n">
        <v>46284</v>
      </c>
      <c r="N37" s="28" t="n">
        <v>0.35</v>
      </c>
      <c r="O37" s="32" t="inlineStr">
        <is>
          <t>database/110_auth_authn_procedures.sql. Both arms independent, proved in both directions: bob locked while alice signs in from the SAME address, and an address throttled at 20 failures across 20 distinct unknown names while the account count stays at 1. Raises E-50116 for the address arm -- now registered in DES Appendix B.</t>
        </is>
      </c>
    </row>
    <row r="38" ht="23.25" customHeight="1" s="23">
      <c r="A38" s="25" t="inlineStr">
        <is>
          <t>T-037</t>
        </is>
      </c>
      <c r="B38" s="26" t="inlineStr">
        <is>
          <t>2 Identity</t>
        </is>
      </c>
      <c r="C38" s="27" t="inlineStr">
        <is>
          <t>110_auth_authn_procedures.sql</t>
        </is>
      </c>
      <c r="D38" s="27" t="inlineStr">
        <is>
          <t>auth.uspVerifyMfa — TOTP window, replay prevention, recovery code consumption</t>
        </is>
      </c>
      <c r="E38" s="25" t="inlineStr">
        <is>
          <t>Procedure</t>
        </is>
      </c>
      <c r="F38" s="27" t="inlineStr">
        <is>
          <t>DES §6.2</t>
        </is>
      </c>
      <c r="G38" s="26" t="inlineStr">
        <is>
          <t>T-028</t>
        </is>
      </c>
      <c r="H38" s="25" t="n">
        <v>1</v>
      </c>
      <c r="I38" s="28" t="inlineStr">
        <is>
          <t>Opus 5</t>
        </is>
      </c>
      <c r="J38" s="28" t="inlineStr">
        <is>
          <t>Complete</t>
        </is>
      </c>
      <c r="K38" s="30" t="n">
        <v>1</v>
      </c>
      <c r="L38" s="31" t="n">
        <v>46284</v>
      </c>
      <c r="M38" s="31" t="n">
        <v>46284</v>
      </c>
      <c r="N38" s="28" t="n">
        <v>0.35</v>
      </c>
      <c r="O38" s="32" t="inlineStr">
        <is>
          <t>database/110_auth_authn_procedures.sql. TOTP window and replay both refused E-50111; a recovery code satisfies once and is spent at that moment, and the second use is E-50112. Accepts VerifierIssued or SsoBegun, which fixes the bypass call order as getVerifier then verifyMfa then completeLogin.</t>
        </is>
      </c>
    </row>
    <row r="39" ht="23.25" customHeight="1" s="23">
      <c r="A39" s="25" t="inlineStr">
        <is>
          <t>T-038</t>
        </is>
      </c>
      <c r="B39" s="26" t="inlineStr">
        <is>
          <t>2 Identity</t>
        </is>
      </c>
      <c r="C39" s="27" t="inlineStr">
        <is>
          <t>110_auth_authn_procedures.sql</t>
        </is>
      </c>
      <c r="D39" s="27" t="inlineStr">
        <is>
          <t>auth.uspBeginSsoLogin and auth.uspCompleteSsoLogin — match on issuer and subject</t>
        </is>
      </c>
      <c r="E39" s="25" t="inlineStr">
        <is>
          <t>Procedure</t>
        </is>
      </c>
      <c r="F39" s="27" t="inlineStr">
        <is>
          <t>DES §7.1, INV-07</t>
        </is>
      </c>
      <c r="G39" s="26" t="inlineStr">
        <is>
          <t>T-027</t>
        </is>
      </c>
      <c r="H39" s="25" t="n">
        <v>1</v>
      </c>
      <c r="I39" s="28" t="inlineStr">
        <is>
          <t>Opus 5</t>
        </is>
      </c>
      <c r="J39" s="28" t="inlineStr">
        <is>
          <t>Complete</t>
        </is>
      </c>
      <c r="K39" s="30" t="n">
        <v>1</v>
      </c>
      <c r="L39" s="31" t="n">
        <v>46284</v>
      </c>
      <c r="M39" s="31" t="n">
        <v>46284</v>
      </c>
      <c r="N39" s="28" t="n">
        <v>0.35</v>
      </c>
      <c r="O39" s="32" t="inlineStr">
        <is>
          <t>database/110_auth_authn_procedures.sql. The federated route is throttled on the same address count as the local one -- an unthrottled entry point beside a throttled one is simply the unthrottled entry point. UserName stays '(sso pending)' and is not invented from the subject id.</t>
        </is>
      </c>
    </row>
    <row r="40" ht="15" customHeight="1" s="23">
      <c r="A40" s="25" t="inlineStr">
        <is>
          <t>T-039</t>
        </is>
      </c>
      <c r="B40" s="26" t="inlineStr">
        <is>
          <t>2 Identity</t>
        </is>
      </c>
      <c r="C40" s="27" t="inlineStr">
        <is>
          <t>110_auth_authn_procedures.sql</t>
        </is>
      </c>
      <c r="D40" s="27" t="inlineStr">
        <is>
          <t>auth.uspEndSession — soft end with a reason</t>
        </is>
      </c>
      <c r="E40" s="25" t="inlineStr">
        <is>
          <t>Procedure</t>
        </is>
      </c>
      <c r="F40" s="27" t="inlineStr">
        <is>
          <t>DES §7.3</t>
        </is>
      </c>
      <c r="G40" s="26" t="inlineStr">
        <is>
          <t>T-030</t>
        </is>
      </c>
      <c r="H40" s="25" t="n">
        <v>0.5</v>
      </c>
      <c r="I40" s="28" t="inlineStr">
        <is>
          <t>Opus 5</t>
        </is>
      </c>
      <c r="J40" s="28" t="inlineStr">
        <is>
          <t>Complete</t>
        </is>
      </c>
      <c r="K40" s="30" t="n">
        <v>1</v>
      </c>
      <c r="L40" s="31" t="n">
        <v>46284</v>
      </c>
      <c r="M40" s="31" t="n">
        <v>46284</v>
      </c>
      <c r="N40" s="28" t="n">
        <v>0.15</v>
      </c>
      <c r="O40" s="32" t="inlineStr">
        <is>
          <t>database/110_auth_authn_procedures.sql. Soft end with a reason; ending by token ends one session and ending by UserId ended 3 of 3. A second end of the same session is E-50114.</t>
        </is>
      </c>
    </row>
    <row r="41" ht="23.25" customHeight="1" s="23">
      <c r="A41" s="25" t="inlineStr">
        <is>
          <t>T-040</t>
        </is>
      </c>
      <c r="B41" s="26" t="inlineStr">
        <is>
          <t>2 Identity</t>
        </is>
      </c>
      <c r="C41" s="27" t="inlineStr">
        <is>
          <t>(.NET harness)</t>
        </is>
      </c>
      <c r="D41" s="27" t="inlineStr">
        <is>
          <t>Throwaway console harness proving the two-round-trip password verification of D-08 end to end</t>
        </is>
      </c>
      <c r="E41" s="25" t="inlineStr">
        <is>
          <t>Test</t>
        </is>
      </c>
      <c r="F41" s="27" t="inlineStr">
        <is>
          <t>DES §14, D-08</t>
        </is>
      </c>
      <c r="G41" s="26" t="inlineStr">
        <is>
          <t>T-034</t>
        </is>
      </c>
      <c r="H41" s="25" t="n">
        <v>1</v>
      </c>
      <c r="I41" s="28" t="inlineStr">
        <is>
          <t>Opus 5</t>
        </is>
      </c>
      <c r="J41" s="28" t="inlineStr">
        <is>
          <t>Complete</t>
        </is>
      </c>
      <c r="K41" s="30" t="n">
        <v>1</v>
      </c>
      <c r="L41" s="31" t="n">
        <v>46284</v>
      </c>
      <c r="M41" s="31" t="n">
        <v>46284</v>
      </c>
      <c r="N41" s="28" t="n">
        <v>0.6</v>
      </c>
      <c r="O41" s="32" t="inlineStr">
        <is>
          <t>tools/T040-PasswordVerification. Real Argon2id from Konscious against a verifier this database issued; exit 0. Upgraded from the planned PBKDF2 stand-in once NuGet restore proved available, which is what makes it able to test whether m=19456,t=2,p=1 really yields the 22- and 43-character fields the dummy template claims.</t>
        </is>
      </c>
    </row>
    <row r="42" ht="23.25" customHeight="1" s="23">
      <c r="A42" s="25" t="inlineStr">
        <is>
          <t>T-041</t>
        </is>
      </c>
      <c r="B42" s="26" t="inlineStr">
        <is>
          <t>2 Identity</t>
        </is>
      </c>
      <c r="C42" s="27" t="inlineStr">
        <is>
          <t>(security)</t>
        </is>
      </c>
      <c r="D42" s="27" t="inlineStr">
        <is>
          <t>Implement the chosen TOTP secret protection and record the key reference convention</t>
        </is>
      </c>
      <c r="E42" s="25" t="inlineStr">
        <is>
          <t>Environment</t>
        </is>
      </c>
      <c r="F42" s="27" t="inlineStr">
        <is>
          <t>DES §6.2, G-07</t>
        </is>
      </c>
      <c r="G42" s="26" t="inlineStr">
        <is>
          <t>T-028</t>
        </is>
      </c>
      <c r="H42" s="25" t="n">
        <v>1</v>
      </c>
      <c r="I42" s="28" t="inlineStr">
        <is>
          <t>Opus 5</t>
        </is>
      </c>
      <c r="J42" s="28" t="inlineStr">
        <is>
          <t>Complete</t>
        </is>
      </c>
      <c r="K42" s="30" t="n">
        <v>1</v>
      </c>
      <c r="L42" s="31" t="n">
        <v>46284</v>
      </c>
      <c r="M42" s="31" t="n">
        <v>46285</v>
      </c>
      <c r="N42" s="28" t="n">
        <v>0.9</v>
      </c>
      <c r="O42" s="32" t="inlineStr">
        <is>
          <t>UNBLOCKED and completed on 2026-09-20 by the management decision in additionalRequirements-T-041.txt: application-side envelope encryption under a TPM-backed CNG key on the application-layer server, with a vault: scheme reserved as a seam for a self-hosted HashiCorp Vault. SQL Server Always Encrypted was rejected because external readers -- Power BI is named -- must keep reading these tables, and a template cannot know which columns a project will enrol. What this task delivered is the CONVENTION: KeyReference names the key and never holds it, the grammar is scheme:name#vN enforced by CK_auth_UserMfaFactor_KeyReferenceFormat in 045_auth_identity.sql, and Authn.MfaKeyReferenceCurrent in 025_config_tables.sql is the single answer to 'which key is current' that both enrolment and rotation read. The four procedures that use it are T-112, split out because they are a surface and not an environment decision. Gap G-07 is CLOSED.</t>
        </is>
      </c>
    </row>
    <row r="43" ht="23.25" customHeight="1" s="23">
      <c r="A43" s="25" t="inlineStr">
        <is>
          <t>T-042</t>
        </is>
      </c>
      <c r="B43" s="26" t="inlineStr">
        <is>
          <t>2 Identity</t>
        </is>
      </c>
      <c r="C43" s="27" t="inlineStr">
        <is>
          <t>(test)</t>
        </is>
      </c>
      <c r="D43" s="27" t="inlineStr">
        <is>
          <t>Assert enumeration resistance: unknown account costs the same work and returns the same message as a wrong password</t>
        </is>
      </c>
      <c r="E43" s="25" t="inlineStr">
        <is>
          <t>Test</t>
        </is>
      </c>
      <c r="F43" s="27" t="inlineStr">
        <is>
          <t>DES §19.2</t>
        </is>
      </c>
      <c r="G43" s="26" t="inlineStr">
        <is>
          <t>T-040</t>
        </is>
      </c>
      <c r="H43" s="25" t="n">
        <v>0.5</v>
      </c>
      <c r="I43" s="28" t="inlineStr">
        <is>
          <t>Opus 5</t>
        </is>
      </c>
      <c r="J43" s="28" t="inlineStr">
        <is>
          <t>Complete</t>
        </is>
      </c>
      <c r="K43" s="30" t="n">
        <v>1</v>
      </c>
      <c r="L43" s="31" t="n">
        <v>46284</v>
      </c>
      <c r="M43" s="31" t="n">
        <v>46284</v>
      </c>
      <c r="N43" s="28" t="n">
        <v>0.2</v>
      </c>
      <c r="O43" s="32" t="inlineStr">
        <is>
          <t>Covered by database/_tests/040_identity_and_authn.sql section 4 and by tools/T040-PasswordVerification. A wrong password and an unknown name both return E-50106 with IDENTICAL message text, both conclude their exchange as Failure so both are counted, and the client cannot distinguish the dummy: it parses with the same parser and spends the same work.</t>
        </is>
      </c>
    </row>
    <row r="44" ht="23.25" customHeight="1" s="23">
      <c r="A44" s="25" t="inlineStr">
        <is>
          <t>T-043</t>
        </is>
      </c>
      <c r="B44" s="26" t="inlineStr">
        <is>
          <t>3 Authorization</t>
        </is>
      </c>
      <c r="C44" s="27" t="inlineStr">
        <is>
          <t>050_auth_permission.sql</t>
        </is>
      </c>
      <c r="D44" s="27" t="inlineStr">
        <is>
          <t>auth.PermissionCategory and auth.Permission — the full catalogue of 35, IsTenantScoped set correctly</t>
        </is>
      </c>
      <c r="E44" s="25" t="inlineStr">
        <is>
          <t>Table</t>
        </is>
      </c>
      <c r="F44" s="27" t="inlineStr">
        <is>
          <t>DES App. A</t>
        </is>
      </c>
      <c r="G44" s="26" t="inlineStr">
        <is>
          <t>T-014</t>
        </is>
      </c>
      <c r="H44" s="25" t="n">
        <v>1</v>
      </c>
      <c r="I44" s="28" t="inlineStr">
        <is>
          <t>Opus 5</t>
        </is>
      </c>
      <c r="J44" s="28" t="inlineStr">
        <is>
          <t>Complete</t>
        </is>
      </c>
      <c r="K44" s="30" t="n">
        <v>1</v>
      </c>
      <c r="L44" s="31" t="n">
        <v>46285</v>
      </c>
      <c r="M44" s="31" t="n">
        <v>46285</v>
      </c>
      <c r="N44" s="28" t="n">
        <v>0.8</v>
      </c>
      <c r="O44" s="32" t="inlineStr">
        <is>
          <t>auth.PermissionCategory and auth.Permission built in database/050_auth_permission.sql, with IsTenantScoped NOT NULL on Permission and the category/code pair kept honest by FK_auth_Permission_PermissionCategory over (PermissionCategoryId, PermissionCategoryCode). THE 35 ROWS THEMSELVES ARE NOT HERE: seeding the catalogue is T-089 (115_seed_reference_data.sql, Phase 6), which is what the Task column means by "the full catalogue" and is where IsTenantScoped per permission is actually set. What this task delivered is the structure that makes the catalogue expressible, plus PermissionDescription -- an addition to DES 15.4 recorded as BL-037, because the alternative is 35 meanings hard-coded in the UI project. Deployed and verified on MDE-55TT2J4\testTemplate; the empty catalogue has a visible consequence recorded against T-065.</t>
        </is>
      </c>
    </row>
    <row r="45" ht="23.25" customHeight="1" s="23">
      <c r="A45" s="25" t="inlineStr">
        <is>
          <t>T-044</t>
        </is>
      </c>
      <c r="B45" s="26" t="inlineStr">
        <is>
          <t>3 Authorization</t>
        </is>
      </c>
      <c r="C45" s="27" t="inlineStr">
        <is>
          <t>055_auth_role.sql</t>
        </is>
      </c>
      <c r="D45" s="27" t="inlineStr">
        <is>
          <t>auth.Role and auth.RolePermission — unique on (ApplicationId, OwnerTenantId, RoleCode) filtered; IsSystemRole</t>
        </is>
      </c>
      <c r="E45" s="25" t="inlineStr">
        <is>
          <t>Table</t>
        </is>
      </c>
      <c r="F45" s="27" t="inlineStr">
        <is>
          <t>DES §8.2, INV-10</t>
        </is>
      </c>
      <c r="G45" s="26" t="inlineStr">
        <is>
          <t>T-043</t>
        </is>
      </c>
      <c r="H45" s="25" t="n">
        <v>1</v>
      </c>
      <c r="I45" s="28" t="inlineStr">
        <is>
          <t>Opus 5</t>
        </is>
      </c>
      <c r="J45" s="28" t="inlineStr">
        <is>
          <t>Complete</t>
        </is>
      </c>
      <c r="K45" s="30" t="n">
        <v>1</v>
      </c>
      <c r="L45" s="31" t="n">
        <v>46285</v>
      </c>
      <c r="M45" s="31" t="n">
        <v>46285</v>
      </c>
      <c r="N45" s="28" t="n">
        <v>0.8</v>
      </c>
      <c r="O45" s="32" t="inlineStr">
        <is>
          <t>auth.Role and auth.RolePermission built in database/055_auth_role.sql. UX_auth_Role_Grant is filtered UNIQUE on (ApplicationId, OwnerTenantId, RoleCode) where IsDeleted = 0, IsSystemRole is present and defended, and INV-04 (a role and the profile it is granted to belong to one application) is enforced structurally rather than by a procedure check: FK_auth_Role_OwnerTenant references the unfiltered UX_auth_Tenant_Id_Application pair added to 030_auth_tenant.sql by ALTER for this purpose -- BL-040. The fourteen baseline roles are seed data and belong to T-089.</t>
        </is>
      </c>
    </row>
    <row r="46" ht="23.25" customHeight="1" s="23">
      <c r="A46" s="25" t="inlineStr">
        <is>
          <t>T-046</t>
        </is>
      </c>
      <c r="B46" s="26" t="inlineStr">
        <is>
          <t>3 Authorization</t>
        </is>
      </c>
      <c r="C46" s="27" t="inlineStr">
        <is>
          <t>040_auth_userprofile.sql</t>
        </is>
      </c>
      <c r="D46" s="27" t="inlineStr">
        <is>
          <t>auth.UserProfile — unfiltered unique on (UserProfileId, TenantId) for composite FKs; one default per user</t>
        </is>
      </c>
      <c r="E46" s="25" t="inlineStr">
        <is>
          <t>Table</t>
        </is>
      </c>
      <c r="F46" s="27" t="inlineStr">
        <is>
          <t>DES §15.4, INV-03</t>
        </is>
      </c>
      <c r="G46" s="26" t="inlineStr">
        <is>
          <t>T-025</t>
        </is>
      </c>
      <c r="H46" s="25" t="n">
        <v>1</v>
      </c>
      <c r="I46" s="28" t="inlineStr">
        <is>
          <t>Opus 5</t>
        </is>
      </c>
      <c r="J46" s="28" t="inlineStr">
        <is>
          <t>Complete</t>
        </is>
      </c>
      <c r="K46" s="30" t="n">
        <v>1</v>
      </c>
      <c r="L46" s="31" t="n">
        <v>46285</v>
      </c>
      <c r="M46" s="31" t="n">
        <v>46285</v>
      </c>
      <c r="N46" s="28" t="n">
        <v>0.9</v>
      </c>
      <c r="O46" s="32" t="inlineStr">
        <is>
          <t>auth.UserProfile built in database/040_auth_userprofile.sql, alongside auth.User rather than in an authorization script, and the banner argues the split. UX_auth_UserProfile_Id_Tenant is the UNFILTERED unique pair on (UserProfileId, TenantId) that the demo domain's composite foreign keys reference -- which is what stops a case file being assigned to a profile at another tenant, and what _tests/060 section 6g ran into as Msg 547 before the RLS block predicate was ever consulted. One default profile per person is UX_auth_UserProfile_Default, filtered on IsDefault = 1 AND IsDeleted = 0 (INV-03). ProfileName is unique per (UserId, TenantId) among live rows, an addition to DES 15.4 recorded as BL-036.</t>
        </is>
      </c>
    </row>
    <row r="47" ht="23.25" customHeight="1" s="23">
      <c r="A47" s="25" t="inlineStr">
        <is>
          <t>T-047</t>
        </is>
      </c>
      <c r="B47" s="26" t="inlineStr">
        <is>
          <t>3 Authorization</t>
        </is>
      </c>
      <c r="C47" s="27" t="inlineStr">
        <is>
          <t>060_auth_profile_role.sql</t>
        </is>
      </c>
      <c r="D47" s="27" t="inlineStr">
        <is>
          <t>auth.UserProfileRole — ScopeTenantId, GrantedByProfileId, ExpiresUtc</t>
        </is>
      </c>
      <c r="E47" s="25" t="inlineStr">
        <is>
          <t>Table</t>
        </is>
      </c>
      <c r="F47" s="27" t="inlineStr">
        <is>
          <t>DES §8.4, D-03</t>
        </is>
      </c>
      <c r="G47" s="26" t="inlineStr">
        <is>
          <t>T-046</t>
        </is>
      </c>
      <c r="H47" s="25" t="n">
        <v>0.75</v>
      </c>
      <c r="I47" s="28" t="inlineStr">
        <is>
          <t>Opus 5</t>
        </is>
      </c>
      <c r="J47" s="28" t="inlineStr">
        <is>
          <t>Complete</t>
        </is>
      </c>
      <c r="K47" s="30" t="n">
        <v>1</v>
      </c>
      <c r="L47" s="31" t="n">
        <v>46285</v>
      </c>
      <c r="M47" s="31" t="n">
        <v>46285</v>
      </c>
      <c r="N47" s="28" t="n">
        <v>0.7</v>
      </c>
      <c r="O47" s="32" t="inlineStr">
        <is>
          <t>auth.UserProfileRole built in database/060_auth_profile_role.sql -- the only table in this database that records a human decision. ScopeTenantId, GrantedByProfileId, GrantedUtc and ExpiresUtc are all present; CK_auth_UserProfileRole_Expiry requires ExpiresUtc &gt; GrantedUtc, which _tests/050 had to respect by backdating GrantedUtc to express an already-expired grant. UX_auth_UserProfileRole_Grant is filtered UNIQUE on (UserProfileId, RoleId, ScopeTenantId) where IsDeleted = 0 -- the reason a soft-deleted grant cannot be restored wholesale (Msg 2601, found by _tests/050 step 6).</t>
        </is>
      </c>
    </row>
    <row r="48" ht="15" customHeight="1" s="23">
      <c r="A48" s="25" t="inlineStr">
        <is>
          <t>T-048</t>
        </is>
      </c>
      <c r="B48" s="26" t="inlineStr">
        <is>
          <t>3 Authorization</t>
        </is>
      </c>
      <c r="C48" s="27" t="inlineStr">
        <is>
          <t>065_auth_effective_permission.sql</t>
        </is>
      </c>
      <c r="D48" s="27" t="inlineStr">
        <is>
          <t>auth.ProfilePermissionScope — derived table, PK on all three columns, covering index</t>
        </is>
      </c>
      <c r="E48" s="25" t="inlineStr">
        <is>
          <t>Table</t>
        </is>
      </c>
      <c r="F48" s="27" t="inlineStr">
        <is>
          <t>DES §8.6, D-07</t>
        </is>
      </c>
      <c r="G48" s="26" t="inlineStr">
        <is>
          <t>T-047</t>
        </is>
      </c>
      <c r="H48" s="25" t="n">
        <v>0.75</v>
      </c>
      <c r="I48" s="28" t="inlineStr">
        <is>
          <t>Opus 5</t>
        </is>
      </c>
      <c r="J48" s="28" t="inlineStr">
        <is>
          <t>Complete</t>
        </is>
      </c>
      <c r="K48" s="30" t="n">
        <v>1</v>
      </c>
      <c r="L48" s="31" t="n">
        <v>46285</v>
      </c>
      <c r="M48" s="31" t="n">
        <v>46285</v>
      </c>
      <c r="N48" s="28" t="n">
        <v>0.6</v>
      </c>
      <c r="O48" s="32" t="inlineStr">
        <is>
          <t>auth.ProfilePermissionScope built in database/065_auth_effective_permission.sql: PK on all three columns (UserProfileId, PermissionId, ScopeTenantId), plus IX_auth_ProfilePermissionScope_Lookup filtered on IsDeleted = 0 so the RLS predicates can seek it. The filter is load-bearing and is BL-039: every reader MUST carry IsDeleted = 0 in its own WHERE clause or it both misses the index and counts retired rows as live authority. Derived table, never edited by hand.</t>
        </is>
      </c>
    </row>
    <row r="49" ht="23.25" customHeight="1" s="23">
      <c r="A49" s="25" t="inlineStr">
        <is>
          <t>T-049</t>
        </is>
      </c>
      <c r="B49" s="26" t="inlineStr">
        <is>
          <t>3 Authorization</t>
        </is>
      </c>
      <c r="C49" s="27" t="inlineStr">
        <is>
          <t>065_auth_effective_permission.sql</t>
        </is>
      </c>
      <c r="D49" s="27" t="inlineStr">
        <is>
          <t>auth.uspRebuildProfilePermissionScope — single profile and whole database, excluding expired, deleted and inactive</t>
        </is>
      </c>
      <c r="E49" s="25" t="inlineStr">
        <is>
          <t>Procedure</t>
        </is>
      </c>
      <c r="F49" s="27" t="inlineStr">
        <is>
          <t>DES §8.6</t>
        </is>
      </c>
      <c r="G49" s="26" t="inlineStr">
        <is>
          <t>T-048</t>
        </is>
      </c>
      <c r="H49" s="25" t="n">
        <v>1.25</v>
      </c>
      <c r="I49" s="28" t="inlineStr">
        <is>
          <t>Opus 5</t>
        </is>
      </c>
      <c r="J49" s="28" t="inlineStr">
        <is>
          <t>Complete</t>
        </is>
      </c>
      <c r="K49" s="30" t="n">
        <v>1</v>
      </c>
      <c r="L49" s="31" t="n">
        <v>46285</v>
      </c>
      <c r="M49" s="31" t="n">
        <v>46285</v>
      </c>
      <c r="N49" s="28" t="n">
        <v>1.2</v>
      </c>
      <c r="O49" s="32" t="inlineStr">
        <is>
          <t>auth.uspRebuildProfilePermissionScope built in database/065_auth_effective_permission.sql, taking one profile or the whole database, and excluding expired grants, deleted rows at every level and inactive or deleted users and profiles. Verified by _tests/050, which is the real exit criterion for this task: fourteen mutations -- grants, revocations, re-grants, role edits, expiries, a profile deactivation and a user deactivation -- and after every one of them the materialized table equalled the set derived longhand from DES 8.6 in BOTH directions, 14 exercised, 0 failed. The concurrency half of gap G-03 remains open and is recorded there, not here.</t>
        </is>
      </c>
    </row>
    <row r="50" ht="23.25" customHeight="1" s="23">
      <c r="A50" s="25" t="inlineStr">
        <is>
          <t>T-050</t>
        </is>
      </c>
      <c r="B50" s="26" t="inlineStr">
        <is>
          <t>3 Authorization</t>
        </is>
      </c>
      <c r="C50" s="27" t="inlineStr">
        <is>
          <t>100_auth_functions.sql</t>
        </is>
      </c>
      <c r="D50" s="27" t="inlineStr">
        <is>
          <t>auth.udfHasPermission — two seeks; Platform permissions also require IsPlatformAdmin</t>
        </is>
      </c>
      <c r="E50" s="25" t="inlineStr">
        <is>
          <t>Function</t>
        </is>
      </c>
      <c r="F50" s="27" t="inlineStr">
        <is>
          <t>DES §9.1, INV-09</t>
        </is>
      </c>
      <c r="G50" s="26" t="inlineStr">
        <is>
          <t>T-048</t>
        </is>
      </c>
      <c r="H50" s="25" t="n">
        <v>0.75</v>
      </c>
      <c r="I50" s="28" t="inlineStr">
        <is>
          <t>Opus 5</t>
        </is>
      </c>
      <c r="J50" s="28" t="inlineStr">
        <is>
          <t>Complete</t>
        </is>
      </c>
      <c r="K50" s="30" t="n">
        <v>1</v>
      </c>
      <c r="L50" s="31" t="n">
        <v>46285</v>
      </c>
      <c r="M50" s="31" t="n">
        <v>46285</v>
      </c>
      <c r="N50" s="28" t="n">
        <v>0.7</v>
      </c>
      <c r="O50" s="32" t="inlineStr">
        <is>
          <t>auth.udfHasPermission built in database/100_auth_functions.sql: two seeks and no join to auth.Permission by code, because the code-to-id resolution is the caller's or the deploy step's job. Platform-category permissions additionally require IsPlatformAdmin on the user (INV-09), which is the one asymmetry in the function and is commented as such. Exercised through auth.uspDemandPermission by _tests/050 and by the deployment probes in 150.</t>
        </is>
      </c>
    </row>
    <row r="51" ht="23.25" customHeight="1" s="23">
      <c r="A51" s="25" t="inlineStr">
        <is>
          <t>T-051</t>
        </is>
      </c>
      <c r="B51" s="26" t="inlineStr">
        <is>
          <t>3 Authorization</t>
        </is>
      </c>
      <c r="C51" s="27" t="inlineStr">
        <is>
          <t>100_auth_functions.sql</t>
        </is>
      </c>
      <c r="D51" s="27" t="inlineStr">
        <is>
          <t>auth.tvfPermissionScope — the tenants a profile holds a permission on</t>
        </is>
      </c>
      <c r="E51" s="25" t="inlineStr">
        <is>
          <t>Function</t>
        </is>
      </c>
      <c r="F51" s="27" t="inlineStr">
        <is>
          <t>DES §9.1</t>
        </is>
      </c>
      <c r="G51" s="26" t="inlineStr">
        <is>
          <t>T-050</t>
        </is>
      </c>
      <c r="H51" s="25" t="n">
        <v>0.5</v>
      </c>
      <c r="I51" s="28" t="inlineStr">
        <is>
          <t>Opus 5</t>
        </is>
      </c>
      <c r="J51" s="28" t="inlineStr">
        <is>
          <t>Complete</t>
        </is>
      </c>
      <c r="K51" s="30" t="n">
        <v>1</v>
      </c>
      <c r="L51" s="31" t="n">
        <v>46285</v>
      </c>
      <c r="M51" s="31" t="n">
        <v>46285</v>
      </c>
      <c r="N51" s="28" t="n">
        <v>0.5</v>
      </c>
      <c r="O51" s="32" t="inlineStr">
        <is>
          <t>auth.tvfPermissionScope built in database/100_auth_functions.sql as an INLINE table-valued function -- tvf, not udf, and the rename is BL-041: the house convention reserves udf for scalars, the SQL gate enforces it, and the design document was corrected rather than the code. Returns the tenants a profile holds one permission on. WHAT IT DOES NOT DO is filter unusable tenants (UI-33): it answers "where is this authority recorded", not "where can it be exercised today", and a caller that needs the second question must join auth.udfIsTenantUsable itself.</t>
        </is>
      </c>
    </row>
    <row r="52" ht="15" customHeight="1" s="23">
      <c r="A52" s="25" t="inlineStr">
        <is>
          <t>T-052</t>
        </is>
      </c>
      <c r="B52" s="26" t="inlineStr">
        <is>
          <t>3 Authorization</t>
        </is>
      </c>
      <c r="C52" s="27" t="inlineStr">
        <is>
          <t>150_auth_query_procedures.sql</t>
        </is>
      </c>
      <c r="D52" s="27" t="inlineStr">
        <is>
          <t>auth.uspDemandPermission — raises E-50030 / E-50031</t>
        </is>
      </c>
      <c r="E52" s="25" t="inlineStr">
        <is>
          <t>Procedure</t>
        </is>
      </c>
      <c r="F52" s="27" t="inlineStr">
        <is>
          <t>DES §14.2</t>
        </is>
      </c>
      <c r="G52" s="26" t="inlineStr">
        <is>
          <t>T-050</t>
        </is>
      </c>
      <c r="H52" s="25" t="n">
        <v>0.5</v>
      </c>
      <c r="I52" s="28" t="inlineStr">
        <is>
          <t>Opus 5</t>
        </is>
      </c>
      <c r="J52" s="28" t="inlineStr">
        <is>
          <t>Complete</t>
        </is>
      </c>
      <c r="K52" s="30" t="n">
        <v>1</v>
      </c>
      <c r="L52" s="31" t="n">
        <v>46285</v>
      </c>
      <c r="M52" s="31" t="n">
        <v>46285</v>
      </c>
      <c r="N52" s="28" t="n">
        <v>0.6</v>
      </c>
      <c r="O52" s="32" t="inlineStr">
        <is>
          <t>auth.uspDemandPermission built in database/150_auth_query_procedures.sql, raising E-50030 when the profile lacks the permission anywhere and E-50031 when it holds it but not at the acting tenant -- two numbers because the UI response differs (UI-13). Writes logs.AuthorizationDenial through logs.uspRecordAuthorizationDenial before it throws, which is why 165 installs before 150. THE LIMITATION IS STATED, NOT PAPERED OVER: called inside a caller's open transaction, the rollback the denial provokes takes the trail row with it (BL-042), so DES section 9 authorizes at step 5, before any transaction opens, and every procedure in this database follows that order.</t>
        </is>
      </c>
    </row>
    <row r="53" ht="15" customHeight="1" s="23">
      <c r="A53" s="25" t="inlineStr">
        <is>
          <t>T-053</t>
        </is>
      </c>
      <c r="B53" s="26" t="inlineStr">
        <is>
          <t>3 Authorization</t>
        </is>
      </c>
      <c r="C53" s="27" t="inlineStr">
        <is>
          <t>105_auth_session_procedures.sql</t>
        </is>
      </c>
      <c r="D53" s="27" t="inlineStr">
        <is>
          <t>auth.uspSetSessionContext — full validation chain and the three-way already-set branch</t>
        </is>
      </c>
      <c r="E53" s="25" t="inlineStr">
        <is>
          <t>Procedure</t>
        </is>
      </c>
      <c r="F53" s="27" t="inlineStr">
        <is>
          <t>DES §9, §14.3</t>
        </is>
      </c>
      <c r="G53" s="26" t="inlineStr">
        <is>
          <t>T-030</t>
        </is>
      </c>
      <c r="H53" s="25" t="n">
        <v>1.5</v>
      </c>
      <c r="I53" s="28" t="inlineStr">
        <is>
          <t>Opus 5</t>
        </is>
      </c>
      <c r="J53" s="28" t="inlineStr">
        <is>
          <t>Complete</t>
        </is>
      </c>
      <c r="K53" s="30" t="n">
        <v>1</v>
      </c>
      <c r="L53" s="31" t="n">
        <v>46285</v>
      </c>
      <c r="M53" s="31" t="n">
        <v>46285</v>
      </c>
      <c r="N53" s="28" t="n">
        <v>1.5</v>
      </c>
      <c r="O53" s="32" t="inlineStr">
        <is>
          <t>auth.uspSetSessionContext built in database/105_auth_session_procedures.sql: the full validation chain (session hash, expiry, user usable, profile usable, tenant usable, application match) and the three-way already-set branch -- same profile returns silently, different profile raises E-50022, no profile set proceeds. It takes @SessionTokenHash and NOT the token; the design document's sketch of @SessionToken was corrected instead of the code, BL-043, because the token never crosses this boundary. On an expired session it calls auth.uspEndSession before throwing E-50023, which is why the installer runs 105 after 110.</t>
        </is>
      </c>
    </row>
    <row r="54" ht="23.25" customHeight="1" s="23">
      <c r="A54" s="25" t="inlineStr">
        <is>
          <t>T-054</t>
        </is>
      </c>
      <c r="B54" s="26" t="inlineStr">
        <is>
          <t>3 Authorization</t>
        </is>
      </c>
      <c r="C54" s="27" t="inlineStr">
        <is>
          <t>105_auth_session_procedures.sql</t>
        </is>
      </c>
      <c r="D54" s="27" t="inlineStr">
        <is>
          <t>auth.uspClearSessionContext</t>
        </is>
      </c>
      <c r="E54" s="25" t="inlineStr">
        <is>
          <t>Procedure</t>
        </is>
      </c>
      <c r="F54" s="27" t="inlineStr">
        <is>
          <t>DES §14.3</t>
        </is>
      </c>
      <c r="G54" s="26" t="inlineStr">
        <is>
          <t>T-053</t>
        </is>
      </c>
      <c r="H54" s="25" t="n">
        <v>0.25</v>
      </c>
      <c r="I54" s="28" t="inlineStr">
        <is>
          <t>Opus 5</t>
        </is>
      </c>
      <c r="J54" s="28" t="inlineStr">
        <is>
          <t>Complete</t>
        </is>
      </c>
      <c r="K54" s="30" t="n">
        <v>1</v>
      </c>
      <c r="L54" s="31" t="n">
        <v>46285</v>
      </c>
      <c r="M54" s="31" t="n">
        <v>46285</v>
      </c>
      <c r="N54" s="28" t="n">
        <v>0.2</v>
      </c>
      <c r="O54" s="32" t="inlineStr">
        <is>
          <t>auth.uspClearSessionContext built in database/105_auth_session_procedures.sql. It clears what CAN be cleared and says so: the five identity keys are set @read_only = 1 and cannot be re-set or nulled for the life of the connection (Msg 15664), so this procedure clears BypassRowSecurity and reports the rest as a connection-pool fact rather than pretending to reset them. That asymmetry is UI-06 and is why one connection serves exactly one profile.</t>
        </is>
      </c>
    </row>
    <row r="55" ht="15" customHeight="1" s="23">
      <c r="A55" s="25" t="inlineStr">
        <is>
          <t>T-055</t>
        </is>
      </c>
      <c r="B55" s="26" t="inlineStr">
        <is>
          <t>3 Authorization</t>
        </is>
      </c>
      <c r="C55" s="27" t="inlineStr">
        <is>
          <t>085_logs_auth_tables.sql</t>
        </is>
      </c>
      <c r="D55" s="27" t="inlineStr">
        <is>
          <t>logs.AuthorizationChange, logs.AuthorizationDenial, logs.DataChangeLog</t>
        </is>
      </c>
      <c r="E55" s="25" t="inlineStr">
        <is>
          <t>Table</t>
        </is>
      </c>
      <c r="F55" s="27" t="inlineStr">
        <is>
          <t>DES §15.5, P-08</t>
        </is>
      </c>
      <c r="G55" s="26" t="inlineStr">
        <is>
          <t>T-047</t>
        </is>
      </c>
      <c r="H55" s="25" t="n">
        <v>0.75</v>
      </c>
      <c r="I55" s="28" t="inlineStr">
        <is>
          <t>Opus 5</t>
        </is>
      </c>
      <c r="J55" s="28" t="inlineStr">
        <is>
          <t>Complete</t>
        </is>
      </c>
      <c r="K55" s="30" t="n">
        <v>1</v>
      </c>
      <c r="L55" s="31" t="n">
        <v>46285</v>
      </c>
      <c r="M55" s="31" t="n">
        <v>46285</v>
      </c>
      <c r="N55" s="28" t="n">
        <v>0.7</v>
      </c>
      <c r="O55" s="32" t="inlineStr">
        <is>
          <t>logs.AuthorizationChange, logs.AuthorizationDenial and logs.DataChangeLog built in database/085_logs_auth_tables.sql, in logs rather than logsData because a human reads them -- which is what lets logsAuditReader read all three directly without anything on SCHEMA::auth. ActorAuthorityTenantId is present on the authority trail (P-08). Closed during the Phase 3/4 closeout: the conventions' own scripts/permissions.sql grants all four table verbs on SCHEMA::logs to applicationRole, which covered these three the moment they were created there, so 170_permissions.sql now DENIES INSERT, UPDATE and DELETE on them object by object -- BL-048.</t>
        </is>
      </c>
    </row>
    <row r="56" ht="15" customHeight="1" s="23">
      <c r="A56" s="25" t="inlineStr">
        <is>
          <t>T-056</t>
        </is>
      </c>
      <c r="B56" s="26" t="inlineStr">
        <is>
          <t>3 Authorization</t>
        </is>
      </c>
      <c r="C56" s="27" t="inlineStr">
        <is>
          <t>165_logs_procedures.sql</t>
        </is>
      </c>
      <c r="D56" s="27" t="inlineStr">
        <is>
          <t>Recording procedures for the three trails, including ActorAuthorityTenantId</t>
        </is>
      </c>
      <c r="E56" s="25" t="inlineStr">
        <is>
          <t>Procedure</t>
        </is>
      </c>
      <c r="F56" s="27" t="inlineStr">
        <is>
          <t>DES §15.5</t>
        </is>
      </c>
      <c r="G56" s="26" t="inlineStr">
        <is>
          <t>T-055</t>
        </is>
      </c>
      <c r="H56" s="25" t="n">
        <v>0.75</v>
      </c>
      <c r="I56" s="28" t="inlineStr">
        <is>
          <t>Opus 5</t>
        </is>
      </c>
      <c r="J56" s="28" t="inlineStr">
        <is>
          <t>Complete</t>
        </is>
      </c>
      <c r="K56" s="30" t="n">
        <v>1</v>
      </c>
      <c r="L56" s="31" t="n">
        <v>46285</v>
      </c>
      <c r="M56" s="31" t="n">
        <v>46285</v>
      </c>
      <c r="N56" s="28" t="n">
        <v>0.8</v>
      </c>
      <c r="O56" s="32" t="inlineStr">
        <is>
          <t>logs.uspRecordAuthorizationChange, logs.uspRecordAuthorizationDenial and logs.uspRecordDataChange built in database/165_logs_procedures.sql, all three carrying ActorAuthorityTenantId. EXECUTE is granted to NOBODY, deliberately: the callers reach them by ownership chaining -- measured on this instance, and re-measured during the closeout with the new object-level DENY in place, where a direct UPDATE by an applicationRole member failed with 229 while the same write through auth.uspRecordLoginFailure succeeded. 170_permissions.sql now asserts that absence as well as 165 asserting it.</t>
        </is>
      </c>
    </row>
    <row r="57" ht="15" customHeight="1" s="23">
      <c r="A57" s="25" t="inlineStr">
        <is>
          <t>T-057</t>
        </is>
      </c>
      <c r="B57" s="26" t="inlineStr">
        <is>
          <t>3 Authorization</t>
        </is>
      </c>
      <c r="C57" s="27" t="inlineStr">
        <is>
          <t>(test)</t>
        </is>
      </c>
      <c r="D57" s="27" t="inlineStr">
        <is>
          <t>Materialization equals derived after an arbitrary sequence of grants, revocations, role edits, expiries and profile deactivations</t>
        </is>
      </c>
      <c r="E57" s="25" t="inlineStr">
        <is>
          <t>Test</t>
        </is>
      </c>
      <c r="F57" s="27" t="inlineStr">
        <is>
          <t>DES §8.6, G-03</t>
        </is>
      </c>
      <c r="G57" s="26" t="inlineStr">
        <is>
          <t>T-049</t>
        </is>
      </c>
      <c r="H57" s="25" t="n">
        <v>1</v>
      </c>
      <c r="I57" s="28" t="inlineStr">
        <is>
          <t>Opus 5</t>
        </is>
      </c>
      <c r="J57" s="28" t="inlineStr">
        <is>
          <t>Complete</t>
        </is>
      </c>
      <c r="K57" s="30" t="n">
        <v>1</v>
      </c>
      <c r="L57" s="31" t="n">
        <v>46285</v>
      </c>
      <c r="M57" s="31" t="n">
        <v>46285</v>
      </c>
      <c r="N57" s="28" t="n">
        <v>1.4</v>
      </c>
      <c r="O57" s="32" t="inlineStr">
        <is>
          <t>database/_tests/050_authorization_and_session.sql, sections 3 and 4. The arbitrary sequence is expressed as DATA -- a 14-row @Mutation table driven by one WHILE loop -- so that the derived-set definition from DES 8.6 exists exactly once and is written longhand rather than reusing the procedure's own query, which would only have proved self-consistency. Both EXCEPT directions are checked and labelled by consequence: missing rows are a FALSE DENIAL (the user sees an empty screen), extra rows are a FALSE GRANT (nobody complains). 14 exercised, 0 failed; the file is re-runnable and was run twice. Three real constraints were found the hard way and are written into the expectations: CK_auth_UserProfileRole_Expiry, UX_auth_UserProfileRole_Grant (Msg 2601 on restoring every soft-deleted grant), and trg_au_updt_UserProfileRole overwriting auditDeletedBy so it cannot carry a caller's marker (BL-044).</t>
        </is>
      </c>
    </row>
    <row r="58" ht="23.25" customHeight="1" s="23">
      <c r="A58" s="25" t="inlineStr">
        <is>
          <t>T-058</t>
        </is>
      </c>
      <c r="B58" s="26" t="inlineStr">
        <is>
          <t>3 Authorization</t>
        </is>
      </c>
      <c r="C58" s="27" t="inlineStr">
        <is>
          <t>(test)</t>
        </is>
      </c>
      <c r="D58" s="27" t="inlineStr">
        <is>
          <t>Second uspSetSessionContext on one connection: same profile returns silently, different profile raises E-50022</t>
        </is>
      </c>
      <c r="E58" s="25" t="inlineStr">
        <is>
          <t>Test</t>
        </is>
      </c>
      <c r="F58" s="27" t="inlineStr">
        <is>
          <t>DES §14.3</t>
        </is>
      </c>
      <c r="G58" s="26" t="inlineStr">
        <is>
          <t>T-053</t>
        </is>
      </c>
      <c r="H58" s="25" t="n">
        <v>0.5</v>
      </c>
      <c r="I58" s="28" t="inlineStr">
        <is>
          <t>Opus 5</t>
        </is>
      </c>
      <c r="J58" s="28" t="inlineStr">
        <is>
          <t>Complete</t>
        </is>
      </c>
      <c r="K58" s="30" t="n">
        <v>1</v>
      </c>
      <c r="L58" s="31" t="n">
        <v>46285</v>
      </c>
      <c r="M58" s="31" t="n">
        <v>46285</v>
      </c>
      <c r="N58" s="28" t="n">
        <v>0.4</v>
      </c>
      <c r="O58" s="32" t="inlineStr">
        <is>
          <t>database/_tests/050_authorization_and_session.sql section 5, which MUST be the last section in the file: setting the identity keys spends the connection, so the section that tests the already-set branch cannot be followed by anything needing a different profile. Recorded: the same profile twice returns silently with UserProfileId intact, a different profile raises Error 50022 (expected 50022) and the identity keys survive the refusal -- @IdentityKeysRemain = 1. Section 4b therefore sets UserProfileId and ActingTenantId directly, writable then nulled, to get a profile identity without spending the connection.</t>
        </is>
      </c>
    </row>
    <row r="59" ht="23.25" customHeight="1" s="23">
      <c r="A59" s="25" t="inlineStr">
        <is>
          <t>T-059</t>
        </is>
      </c>
      <c r="B59" s="26" t="inlineStr">
        <is>
          <t>4 Row security</t>
        </is>
      </c>
      <c r="C59" s="27" t="inlineStr">
        <is>
          <t>025_config_tables.sql</t>
        </is>
      </c>
      <c r="D59" s="27" t="inlineStr">
        <is>
          <t>config.ApplicationSetting — the tunables with defaults</t>
        </is>
      </c>
      <c r="E59" s="25" t="inlineStr">
        <is>
          <t>Table</t>
        </is>
      </c>
      <c r="F59" s="27" t="inlineStr">
        <is>
          <t>DES §15.1</t>
        </is>
      </c>
      <c r="G59" s="26" t="inlineStr">
        <is>
          <t>T-010</t>
        </is>
      </c>
      <c r="H59" s="25" t="n">
        <v>0.5</v>
      </c>
      <c r="I59" s="28" t="inlineStr">
        <is>
          <t>Opus 5</t>
        </is>
      </c>
      <c r="J59" s="28" t="inlineStr">
        <is>
          <t>Complete</t>
        </is>
      </c>
      <c r="K59" s="30" t="n">
        <v>1</v>
      </c>
      <c r="L59" s="31" t="n">
        <v>46285</v>
      </c>
      <c r="M59" s="31" t="n">
        <v>46285</v>
      </c>
      <c r="N59" s="28" t="n">
        <v>0.4</v>
      </c>
      <c r="O59" s="32" t="inlineStr">
        <is>
          <t>config.ApplicationSetting built in database/025_config_tables.sql and seeded with 18 live rows, verified on MDE-55TT2J4\testTemplate. It installs seventh, before any auth table, because 110's authentication procedures read four settings out of it -- install order is not build order, and this row is why the manifest comment says so. IsSensitive is present and carries weight: Authn.DummyVerifierPepper is why 170_permissions.sql DENIES SELECT on the whole table to both reading roles, with a filtered view named as the extension point when something needs a direct read.</t>
        </is>
      </c>
    </row>
    <row r="60" ht="15" customHeight="1" s="23">
      <c r="A60" s="25" t="inlineStr">
        <is>
          <t>T-060</t>
        </is>
      </c>
      <c r="B60" s="26" t="inlineStr">
        <is>
          <t>4 Row security</t>
        </is>
      </c>
      <c r="C60" s="27" t="inlineStr">
        <is>
          <t>025_config_tables.sql</t>
        </is>
      </c>
      <c r="D60" s="27" t="inlineStr">
        <is>
          <t>config.TenantScopedTable — the registry the policy is built from</t>
        </is>
      </c>
      <c r="E60" s="25" t="inlineStr">
        <is>
          <t>Table</t>
        </is>
      </c>
      <c r="F60" s="27" t="inlineStr">
        <is>
          <t>DES §10.1</t>
        </is>
      </c>
      <c r="G60" s="26" t="inlineStr">
        <is>
          <t>T-058</t>
        </is>
      </c>
      <c r="H60" s="25" t="n">
        <v>0.5</v>
      </c>
      <c r="I60" s="28" t="inlineStr">
        <is>
          <t>Opus 5</t>
        </is>
      </c>
      <c r="J60" s="28" t="inlineStr">
        <is>
          <t>Complete</t>
        </is>
      </c>
      <c r="K60" s="30" t="n">
        <v>1</v>
      </c>
      <c r="L60" s="31" t="n">
        <v>46285</v>
      </c>
      <c r="M60" s="31" t="n">
        <v>46285</v>
      </c>
      <c r="N60" s="28" t="n">
        <v>0.4</v>
      </c>
      <c r="O60" s="32" t="inlineStr">
        <is>
          <t>config.TenantScopedTable built in database/025_config_tables.sql with 2 live rows -- dbo.CaseFile and dbo.CaseNote -- and it is the registry auth.uspRebuildTenantAccessPolicy reads to decide what to protect. A row here is a claim that the table carries a TenantId column of the right type; the rebuild procedure verifies that claim and reports skipped rows through @TablesSkipped rather than binding a predicate to a column that is not there.</t>
        </is>
      </c>
    </row>
    <row r="61" ht="15" customHeight="1" s="23">
      <c r="A61" s="25" t="inlineStr">
        <is>
          <t>T-061</t>
        </is>
      </c>
      <c r="B61" s="26" t="inlineStr">
        <is>
          <t>4 Row security</t>
        </is>
      </c>
      <c r="C61" s="27" t="inlineStr">
        <is>
          <t>100_auth_functions.sql</t>
        </is>
      </c>
      <c r="D61" s="27" t="inlineStr">
        <is>
          <t>auth.udfTenantReadPredicate — SCHEMABINDING, TRY_CAST, literal permission id, bypass key</t>
        </is>
      </c>
      <c r="E61" s="25" t="inlineStr">
        <is>
          <t>Function</t>
        </is>
      </c>
      <c r="F61" s="27" t="inlineStr">
        <is>
          <t>DES §10.2</t>
        </is>
      </c>
      <c r="G61" s="26" t="inlineStr">
        <is>
          <t>T-049</t>
        </is>
      </c>
      <c r="H61" s="25" t="n">
        <v>1</v>
      </c>
      <c r="I61" s="28" t="inlineStr">
        <is>
          <t>Opus 5</t>
        </is>
      </c>
      <c r="J61" s="28" t="inlineStr">
        <is>
          <t>Complete</t>
        </is>
      </c>
      <c r="K61" s="30" t="n">
        <v>1</v>
      </c>
      <c r="L61" s="31" t="n">
        <v>46285</v>
      </c>
      <c r="M61" s="31" t="n">
        <v>46285</v>
      </c>
      <c r="N61" s="28" t="n">
        <v>1</v>
      </c>
      <c r="O61" s="32" t="inlineStr">
        <is>
          <t>auth.tvfTenantReadPredicate built in database/100_auth_functions.sql: WITH SCHEMABINDING, TRY_CAST over every SESSION_CONTEXT read (a predicate that throws on a malformed key would fail the query rather than deny the row), the permission id list substituted as a LITERAL at deploy time, and the BypassRowSecurity key as the one escape. Named tvf and not udf per the house convention -- BL-041, and the design document was corrected. Verified by _tests/060 sections 6a and 6h.</t>
        </is>
      </c>
    </row>
    <row r="62" ht="23.25" customHeight="1" s="23">
      <c r="A62" s="25" t="inlineStr">
        <is>
          <t>T-062</t>
        </is>
      </c>
      <c r="B62" s="26" t="inlineStr">
        <is>
          <t>4 Row security</t>
        </is>
      </c>
      <c r="C62" s="27" t="inlineStr">
        <is>
          <t>100_auth_functions.sql</t>
        </is>
      </c>
      <c r="D62" s="27" t="inlineStr">
        <is>
          <t>auth.udfTenantInsertPredicate — row tenant equals acting tenant AND insert scope covers it</t>
        </is>
      </c>
      <c r="E62" s="25" t="inlineStr">
        <is>
          <t>Function</t>
        </is>
      </c>
      <c r="F62" s="27" t="inlineStr">
        <is>
          <t>DES §10.3, P-06</t>
        </is>
      </c>
      <c r="G62" s="26" t="inlineStr">
        <is>
          <t>T-060</t>
        </is>
      </c>
      <c r="H62" s="25" t="n">
        <v>0.75</v>
      </c>
      <c r="I62" s="28" t="inlineStr">
        <is>
          <t>Opus 5</t>
        </is>
      </c>
      <c r="J62" s="28" t="inlineStr">
        <is>
          <t>Complete</t>
        </is>
      </c>
      <c r="K62" s="30" t="n">
        <v>1</v>
      </c>
      <c r="L62" s="31" t="n">
        <v>46285</v>
      </c>
      <c r="M62" s="31" t="n">
        <v>46285</v>
      </c>
      <c r="N62" s="28" t="n">
        <v>0.7</v>
      </c>
      <c r="O62" s="32" t="inlineStr">
        <is>
          <t>auth.tvfTenantInsertPredicate built in database/100_auth_functions.sql: the row's tenant must EQUAL the acting tenant and the profile's insert scope must cover it (P-06). Equality and not descendant-of, which is the whole point: a manager with authority over a subtree still inserts into the tenant they are acting for, and the UI never offers a TenantId picker on an insert (UI-14). Verified by _tests/060 sections 6b and 6c -- the refusal is Msg 33504.</t>
        </is>
      </c>
    </row>
    <row r="63" ht="23.25" customHeight="1" s="23">
      <c r="A63" s="25" t="inlineStr">
        <is>
          <t>T-063</t>
        </is>
      </c>
      <c r="B63" s="26" t="inlineStr">
        <is>
          <t>4 Row security</t>
        </is>
      </c>
      <c r="C63" s="27" t="inlineStr">
        <is>
          <t>100_auth_functions.sql</t>
        </is>
      </c>
      <c r="D63" s="27" t="inlineStr">
        <is>
          <t>auth.udfTenantUpdatePredicate — update scope covers the tenant</t>
        </is>
      </c>
      <c r="E63" s="25" t="inlineStr">
        <is>
          <t>Function</t>
        </is>
      </c>
      <c r="F63" s="27" t="inlineStr">
        <is>
          <t>DES §10.3</t>
        </is>
      </c>
      <c r="G63" s="26" t="inlineStr">
        <is>
          <t>T-060</t>
        </is>
      </c>
      <c r="H63" s="25" t="n">
        <v>0.5</v>
      </c>
      <c r="I63" s="28" t="inlineStr">
        <is>
          <t>Opus 5</t>
        </is>
      </c>
      <c r="J63" s="28" t="inlineStr">
        <is>
          <t>Complete</t>
        </is>
      </c>
      <c r="K63" s="30" t="n">
        <v>1</v>
      </c>
      <c r="L63" s="31" t="n">
        <v>46285</v>
      </c>
      <c r="M63" s="31" t="n">
        <v>46285</v>
      </c>
      <c r="N63" s="28" t="n">
        <v>0.5</v>
      </c>
      <c r="O63" s="32" t="inlineStr">
        <is>
          <t>auth.tvfTenantUpdatePredicate built in database/100_auth_functions.sql: the profile's update scope must cover the row's tenant. It is bound three times per protected table -- BLOCK AFTER INSERT, BLOCK BEFORE UPDATE and BLOCK AFTER UPDATE -- and it is therefore also the predicate that governs the soft delete, since deletion in this design is an UPDATE. There is deliberately no delete predicate. Verified by _tests/060 sections 6d to 6g.</t>
        </is>
      </c>
    </row>
    <row r="64" ht="15" customHeight="1" s="23">
      <c r="A64" s="25" t="inlineStr">
        <is>
          <t>T-064</t>
        </is>
      </c>
      <c r="B64" s="26" t="inlineStr">
        <is>
          <t>4 Row security</t>
        </is>
      </c>
      <c r="C64" s="27" t="inlineStr">
        <is>
          <t>120_rls_policy.sql</t>
        </is>
      </c>
      <c r="D64" s="27" t="inlineStr">
        <is>
          <t>Build auth.TenantAccessPolicy from the registry: FILTER plus three BLOCK predicates per registered table</t>
        </is>
      </c>
      <c r="E64" s="25" t="inlineStr">
        <is>
          <t>Policy</t>
        </is>
      </c>
      <c r="F64" s="27" t="inlineStr">
        <is>
          <t>DES §10.3</t>
        </is>
      </c>
      <c r="G64" s="26" t="inlineStr">
        <is>
          <t>T-062</t>
        </is>
      </c>
      <c r="H64" s="25" t="n">
        <v>1.5</v>
      </c>
      <c r="I64" s="28" t="inlineStr">
        <is>
          <t>Opus 5</t>
        </is>
      </c>
      <c r="J64" s="28" t="inlineStr">
        <is>
          <t>Complete</t>
        </is>
      </c>
      <c r="K64" s="30" t="n">
        <v>1</v>
      </c>
      <c r="L64" s="31" t="n">
        <v>46285</v>
      </c>
      <c r="M64" s="31" t="n">
        <v>46285</v>
      </c>
      <c r="N64" s="28" t="n">
        <v>1.3</v>
      </c>
      <c r="O64" s="32" t="inlineStr">
        <is>
          <t>auth.TenantAccessPolicy built in database/120_rls_policy.sql from config.TenantScopedTable: FILTER plus three BLOCK predicates per registered table, 2 tables bound and 8 predicates, state ON, verified on MDE-55TT2J4\testTemplate. The policy is built by auth.uspRebuildTenantAccessPolicy @Action = N'Rebuild'|N'Drop' rather than by inline DDL, because a bound function cannot be altered (error 3729) and a re-deployment therefore needs a supported way to unbind first -- BL-038. Install-TemplateDatabase.ps1 now calls @Action = N'Drop' before every pass and rebuilds at step 27.</t>
        </is>
      </c>
    </row>
    <row r="65" ht="23.25" customHeight="1" s="23">
      <c r="A65" s="25" t="inlineStr">
        <is>
          <t>T-065</t>
        </is>
      </c>
      <c r="B65" s="26" t="inlineStr">
        <is>
          <t>4 Row security</t>
        </is>
      </c>
      <c r="C65" s="27" t="inlineStr">
        <is>
          <t>120_rls_policy.sql</t>
        </is>
      </c>
      <c r="D65" s="27" t="inlineStr">
        <is>
          <t>Permission-id literal substitution at deploy time, plus the assertion that keeps it honest</t>
        </is>
      </c>
      <c r="E65" s="25" t="inlineStr">
        <is>
          <t>Policy</t>
        </is>
      </c>
      <c r="F65" s="27" t="inlineStr">
        <is>
          <t>DES §10.2</t>
        </is>
      </c>
      <c r="G65" s="26" t="inlineStr">
        <is>
          <t>T-063</t>
        </is>
      </c>
      <c r="H65" s="25" t="n">
        <v>0.5</v>
      </c>
      <c r="I65" s="28" t="inlineStr">
        <is>
          <t>Opus 5</t>
        </is>
      </c>
      <c r="J65" s="28" t="inlineStr">
        <is>
          <t>Complete</t>
        </is>
      </c>
      <c r="K65" s="30" t="n">
        <v>1</v>
      </c>
      <c r="L65" s="31" t="n">
        <v>46285</v>
      </c>
      <c r="M65" s="31" t="n">
        <v>46285</v>
      </c>
      <c r="N65" s="28" t="n">
        <v>0.6</v>
      </c>
      <c r="O65" s="32" t="inlineStr">
        <is>
          <t>The permission-id substitution and the assertion that keeps it honest, both in database/120_rls_policy.sql. The predicate carries a literal PermissionId IN (...) list because a database serving four applications holds four rows whose PermissionCode is Data.Read, and one literal would protect one application and silently fail open for the other three -- BL-039. The closing report re-derives the list from the catalogue and compares it with CHARINDEX against the deployed definition, so a stale list is a failed deployment rather than a silent denial (UI-35). With the catalogue unseeded until T-089 the list resolves to the sentinel -1 and every predicate denies every non-maintenance session: fail-CLOSED, reported by the script, and the reason 115_seed_reference_data.sql must re-run this file.</t>
        </is>
      </c>
    </row>
    <row r="66" ht="23.25" customHeight="1" s="23">
      <c r="A66" s="25" t="inlineStr">
        <is>
          <t>T-066</t>
        </is>
      </c>
      <c r="B66" s="26" t="inlineStr">
        <is>
          <t>4 Row security</t>
        </is>
      </c>
      <c r="C66" s="27" t="inlineStr">
        <is>
          <t>105_auth_session_procedures.sql</t>
        </is>
      </c>
      <c r="D66" s="27" t="inlineStr">
        <is>
          <t>auth.uspBeginMaintenanceSession and uspEndMaintenanceSession — role-gated, event written before the key is set</t>
        </is>
      </c>
      <c r="E66" s="25" t="inlineStr">
        <is>
          <t>Procedure</t>
        </is>
      </c>
      <c r="F66" s="27" t="inlineStr">
        <is>
          <t>DES §10.5</t>
        </is>
      </c>
      <c r="G66" s="26" t="inlineStr">
        <is>
          <t>T-008</t>
        </is>
      </c>
      <c r="H66" s="25" t="n">
        <v>1</v>
      </c>
      <c r="I66" s="28" t="inlineStr">
        <is>
          <t>Opus 5</t>
        </is>
      </c>
      <c r="J66" s="28" t="inlineStr">
        <is>
          <t>Complete</t>
        </is>
      </c>
      <c r="K66" s="30" t="n">
        <v>1</v>
      </c>
      <c r="L66" s="31" t="n">
        <v>46285</v>
      </c>
      <c r="M66" s="31" t="n">
        <v>46285</v>
      </c>
      <c r="N66" s="28" t="n">
        <v>1.2</v>
      </c>
      <c r="O66" s="32" t="inlineStr">
        <is>
          <t>auth.uspBeginMaintenanceSession and auth.uspEndMaintenanceSession built in database/105_auth_session_procedures.sql: gated on IS_ROLEMEMBER('rlsBypassRole') with E-50070 on refusal, reason and ticket reference required, and the logs.AuthenticationEvent row written BEFORE the key is set so that a bypass cannot exist without a trail. ORIGINAL_LOGIN() is recorded, so the trail names the real login even under EXECUTE AS. A REAL DEFECT WAS FOUND AND FIXED HERE by _tests/060: both procedures wrote UserId and UserName NULL, which CK_logs_AuthenticationEvent_Attributable refuses (Msg 547) -- the deployment probe only ever reached the refusal path, so nothing had exercised the accepted path. Both now write the actor into UserName. BL-046.</t>
        </is>
      </c>
    </row>
    <row r="67" ht="23.25" customHeight="1" s="23">
      <c r="A67" s="25" t="inlineStr">
        <is>
          <t>T-067</t>
        </is>
      </c>
      <c r="B67" s="26" t="inlineStr">
        <is>
          <t>4 Row security</t>
        </is>
      </c>
      <c r="C67" s="27" t="inlineStr">
        <is>
          <t>(test)</t>
        </is>
      </c>
      <c r="D67" s="27" t="inlineStr">
        <is>
          <t>Full matrix of DES §10.3: read in and out of scope, insert into acting and other tenant, update of readable-but-not-writable row, attempted tenant move</t>
        </is>
      </c>
      <c r="E67" s="25" t="inlineStr">
        <is>
          <t>Test</t>
        </is>
      </c>
      <c r="F67" s="27" t="inlineStr">
        <is>
          <t>DES §10.3</t>
        </is>
      </c>
      <c r="G67" s="26" t="inlineStr">
        <is>
          <t>T-063</t>
        </is>
      </c>
      <c r="H67" s="25" t="n">
        <v>1.5</v>
      </c>
      <c r="I67" s="28" t="inlineStr">
        <is>
          <t>Opus 5</t>
        </is>
      </c>
      <c r="J67" s="28" t="inlineStr">
        <is>
          <t>Complete</t>
        </is>
      </c>
      <c r="K67" s="30" t="n">
        <v>1</v>
      </c>
      <c r="L67" s="31" t="n">
        <v>46285</v>
      </c>
      <c r="M67" s="31" t="n">
        <v>46285</v>
      </c>
      <c r="N67" s="28" t="n">
        <v>0.9</v>
      </c>
      <c r="O67" s="32" t="inlineStr">
        <is>
          <t>database/_tests/060_row_security.sql sections 6a to 6h -- the full DES 10.3 matrix over four case files and two notes in four tenants: read (3 of 4 visible), insert into the acting tenant (1 row), insert into a sibling (33504), insert into a descendant (33504), update inside scope (1 row), update a row the profile can read but not write (33504), the tenant move (33504) and the soft delete (1 row). All eight cells came out as the design says they should, inside a run that recorded 16 observations as intended with 3 notes. Two measured facts are written into the file: a block violation is Msg 33504, and the composite foreign keys on (AssignedToProfileId, TenantId) and (CaseFileId, TenantId) refuse a tenant move with Msg 547 BEFORE the block predicate is consulted -- so 6b inserts an unassigned row for 6g to move. BL-045.</t>
        </is>
      </c>
    </row>
    <row r="68" ht="34.5" customHeight="1" s="23">
      <c r="A68" s="25" t="inlineStr">
        <is>
          <t>T-068</t>
        </is>
      </c>
      <c r="B68" s="26" t="inlineStr">
        <is>
          <t>4 Row security</t>
        </is>
      </c>
      <c r="C68" s="27" t="inlineStr">
        <is>
          <t>(test)</t>
        </is>
      </c>
      <c r="D68" s="27" t="inlineStr">
        <is>
          <t>db_owner session with no context sees zero rows — demonstrated to the whole team so nobody meets it cold in production</t>
        </is>
      </c>
      <c r="E68" s="25" t="inlineStr">
        <is>
          <t>Test</t>
        </is>
      </c>
      <c r="F68" s="27" t="inlineStr">
        <is>
          <t>DES §10.5, UI-18</t>
        </is>
      </c>
      <c r="G68" s="26" t="inlineStr">
        <is>
          <t>T-063</t>
        </is>
      </c>
      <c r="H68" s="25" t="n">
        <v>0.25</v>
      </c>
      <c r="I68" s="28" t="inlineStr">
        <is>
          <t>Opus 5</t>
        </is>
      </c>
      <c r="J68" s="28" t="inlineStr">
        <is>
          <t>Complete</t>
        </is>
      </c>
      <c r="K68" s="30" t="n">
        <v>1</v>
      </c>
      <c r="L68" s="31" t="n">
        <v>46285</v>
      </c>
      <c r="M68" s="31" t="n">
        <v>46285</v>
      </c>
      <c r="N68" s="28" t="n">
        <v>0.3</v>
      </c>
      <c r="O68" s="32" t="inlineStr">
        <is>
          <t>database/_tests/060_row_security.sql section 5 and section 7. The demonstration is a set-key / count / clear-key / count sequence so the bypass key is provably the only variable: with it set the connection sees 4 of 4 case files, cleared it sees 0, and it is a db_owner connection either way -- RLS applies to db_owner. Section 7 then does it the supported way, through a user created WITHOUT LOGIN in rlsBypassRole calling auth.uspBeginMaintenanceSession: 4 rows inside the window, 0 after auth.uspEndMaintenanceSession, @BypassCleared = 1, and one MaintenanceBypass plus one MaintenanceBypassEnded row naming the real login. This is UI-18, and the point of writing it down is that an empty grid in SSMS looks exactly like data loss.</t>
        </is>
      </c>
    </row>
    <row r="69" ht="23.25" customHeight="1" s="23">
      <c r="A69" s="25" t="inlineStr">
        <is>
          <t>T-069</t>
        </is>
      </c>
      <c r="B69" s="26" t="inlineStr">
        <is>
          <t>5 Performance</t>
        </is>
      </c>
      <c r="C69" s="27" t="inlineStr">
        <is>
          <t>(benchmark)</t>
        </is>
      </c>
      <c r="D69" s="27" t="inlineStr">
        <is>
          <t>Generate realistic volumes: tenants, users, profiles, grants, and a large protected table</t>
        </is>
      </c>
      <c r="E69" s="25" t="inlineStr">
        <is>
          <t>Test</t>
        </is>
      </c>
      <c r="F69" s="27" t="inlineStr">
        <is>
          <t>DES §20</t>
        </is>
      </c>
      <c r="G69" s="26" t="inlineStr">
        <is>
          <t>T-066</t>
        </is>
      </c>
      <c r="H69" s="25" t="n">
        <v>1</v>
      </c>
      <c r="I69" s="28" t="inlineStr">
        <is>
          <t>Opus 5</t>
        </is>
      </c>
      <c r="J69" s="28" t="inlineStr">
        <is>
          <t>Complete</t>
        </is>
      </c>
      <c r="K69" s="30" t="n">
        <v>1</v>
      </c>
      <c r="L69" s="31" t="n">
        <v>46285</v>
      </c>
      <c r="M69" s="31" t="n">
        <v>46285</v>
      </c>
      <c r="N69" s="28" t="n">
        <v>0.6</v>
      </c>
      <c r="O69" s="32" t="inlineStr">
        <is>
          <t>database/_perf/T069_load_volumes.sql, run against MDE-55TT2J4\testTemplateBoot -- a SEPARATE database, on purpose, so that no measurement fixture can ever be mistaken for a working row in testTemplate. Built with GENERATE_SERIES (SQL Server 2022, inside the compatibility ceiling): 1,050 tenants in a three-level tree, 5,000 profiles over 2,000 users, 57,342 auth.ProfilePermissionScope rows and 200,000 dbo.CaseFile rows spread across the leaf tenants. The volumes were chosen to be REALISTIC rather than large: a county-level deployment of the App 1 variant, not a stress test. Two sizes were loaded so that growth could be seen rather than extrapolated -- the closure measurement was later re-run at 10,650 tenants, ten times the expected count.</t>
        </is>
      </c>
    </row>
    <row r="70" ht="23.25" customHeight="1" s="23">
      <c r="A70" s="25" t="inlineStr">
        <is>
          <t>T-070</t>
        </is>
      </c>
      <c r="B70" s="26" t="inlineStr">
        <is>
          <t>5 Performance</t>
        </is>
      </c>
      <c r="C70" s="27" t="inlineStr">
        <is>
          <t>(benchmark)</t>
        </is>
      </c>
      <c r="D70" s="27" t="inlineStr">
        <is>
          <t>Measure the predicate's effect on point reads, range scans and a large aggregate</t>
        </is>
      </c>
      <c r="E70" s="25" t="inlineStr">
        <is>
          <t>Test</t>
        </is>
      </c>
      <c r="F70" s="27" t="inlineStr">
        <is>
          <t>DES §20</t>
        </is>
      </c>
      <c r="G70" s="26" t="inlineStr">
        <is>
          <t>T-068</t>
        </is>
      </c>
      <c r="H70" s="25" t="n">
        <v>1.5</v>
      </c>
      <c r="I70" s="28" t="inlineStr">
        <is>
          <t>Opus 5</t>
        </is>
      </c>
      <c r="J70" s="28" t="inlineStr">
        <is>
          <t>Complete</t>
        </is>
      </c>
      <c r="K70" s="30" t="n">
        <v>1</v>
      </c>
      <c r="L70" s="31" t="n">
        <v>46285</v>
      </c>
      <c r="M70" s="31" t="n">
        <v>46285</v>
      </c>
      <c r="N70" s="28" t="n">
        <v>1.1</v>
      </c>
      <c r="O70" s="32" t="inlineStr">
        <is>
          <t>database/_perf/T070_measure_predicates.sql. Every figure is in docs/30-performance-measurements.md (PERF-AUTH-001) rather than in this cell, because a number without its method is not evidence. The three shapes, protected against an unprotected baseline table of identical content: point read 13.5 microseconds / 8 logical reads against 5.0 / 3; range scan of 200 rows 371 / 1,007 against 32 / 6; unbounded aggregate over 200,000 rows 320,717 / 1,002,655 against 17,475 / 1,405. The aggregate looks catastrophic at 714x and is not: dividing reads by rows TOUCHED gives 5.03, 5.01 and 6.96 across the three, which is a FLAT per-row constant that rises with the calling profile's scope-row count and not with the result size. Also measured: auth.udfHasPermission 24.8 / 7, auth.uspDemandPermission with the probe off 55.7 / 12, and the probe's own config read 10.1 / 5 -- about 18 percent of a permission check, which is the number G-22 was filed to get.</t>
        </is>
      </c>
    </row>
    <row r="71" ht="23.25" customHeight="1" s="23">
      <c r="A71" s="25" t="inlineStr">
        <is>
          <t>T-071</t>
        </is>
      </c>
      <c r="B71" s="26" t="inlineStr">
        <is>
          <t>5 Performance</t>
        </is>
      </c>
      <c r="C71" s="27" t="inlineStr">
        <is>
          <t>(benchmark)</t>
        </is>
      </c>
      <c r="D71" s="27" t="inlineStr">
        <is>
          <t>Measure uspRebuildProfilePermissionScope for one profile and for a bulk grant of a thousand</t>
        </is>
      </c>
      <c r="E71" s="25" t="inlineStr">
        <is>
          <t>Test</t>
        </is>
      </c>
      <c r="F71" s="27" t="inlineStr">
        <is>
          <t>DES §20</t>
        </is>
      </c>
      <c r="G71" s="26" t="inlineStr">
        <is>
          <t>T-068</t>
        </is>
      </c>
      <c r="H71" s="25" t="n">
        <v>1</v>
      </c>
      <c r="I71" s="28" t="inlineStr">
        <is>
          <t>Opus 5</t>
        </is>
      </c>
      <c r="J71" s="28" t="inlineStr">
        <is>
          <t>Complete</t>
        </is>
      </c>
      <c r="K71" s="30" t="n">
        <v>1</v>
      </c>
      <c r="L71" s="31" t="n">
        <v>46285</v>
      </c>
      <c r="M71" s="31" t="n">
        <v>46285</v>
      </c>
      <c r="N71" s="28" t="n">
        <v>0.5</v>
      </c>
      <c r="O71" s="32" t="inlineStr">
        <is>
          <t>database/_perf/T071_measure_rebuilds.sql. One profile: 45.4 ms / 1,500 logical reads. A thousand single-profile calls: 40,555 ms, or 40.6 ms per call, so the per-call cost is flat and there is no warm-up effect to hope for. ALL 5,000 PROFILES IN ONE CALL: 181 ms / 299,616 reads. That is 224 times cheaper than the thousand single calls while doing five times the work, which is new gap G-39 -- not a defect, just a number worse than anybody would have guessed, and the procedure surface currently offers only the slow shape to an administrator granting roles in bulk. A second all-profiles rebuild immediately afterwards cost 166 ms / 44,733 reads, which is the no-change path and confirms the procedure is not rewriting rows it already agrees with.</t>
        </is>
      </c>
    </row>
    <row r="72" ht="23.25" customHeight="1" s="23">
      <c r="A72" s="25" t="inlineStr">
        <is>
          <t>T-072</t>
        </is>
      </c>
      <c r="B72" s="26" t="inlineStr">
        <is>
          <t>5 Performance</t>
        </is>
      </c>
      <c r="C72" s="27" t="inlineStr">
        <is>
          <t>(benchmark)</t>
        </is>
      </c>
      <c r="D72" s="27" t="inlineStr">
        <is>
          <t>Measure uspRebuildTenantClosure at expected tenant count and at ten times it</t>
        </is>
      </c>
      <c r="E72" s="25" t="inlineStr">
        <is>
          <t>Test</t>
        </is>
      </c>
      <c r="F72" s="27" t="inlineStr">
        <is>
          <t>DES §20, G-09</t>
        </is>
      </c>
      <c r="G72" s="26" t="inlineStr">
        <is>
          <t>T-068</t>
        </is>
      </c>
      <c r="H72" s="25" t="n">
        <v>0.5</v>
      </c>
      <c r="I72" s="28" t="inlineStr">
        <is>
          <t>Opus 5</t>
        </is>
      </c>
      <c r="J72" s="28" t="inlineStr">
        <is>
          <t>Complete</t>
        </is>
      </c>
      <c r="K72" s="30" t="n">
        <v>1</v>
      </c>
      <c r="L72" s="31" t="n">
        <v>46285</v>
      </c>
      <c r="M72" s="31" t="n">
        <v>46285</v>
      </c>
      <c r="N72" s="28" t="n">
        <v>0.3</v>
      </c>
      <c r="O72" s="32" t="inlineStr">
        <is>
          <t>database/_perf/T071_measure_rebuilds.sql, second half. auth.uspRebuildTenantClosure at the expected size (1,050 tenants): 39.4 ms / 51,590 logical reads. At ten times that (10,650 tenants): 791 ms / 924,657 reads. So the cost is roughly quadratic in tenant count, which is what a transitive closure over a tree should be, and 791 ms for a single administrative act at a tenant count no realistic deployment reaches is not a problem. G-09 asked whether rebuilding the closure WHOLE on every mutation would scale; the answer is yes at any size this design will see, and G-09's proposed incremental rebuild is therefore not worth its complexity. Recorded in PERF-AUTH-001 section 6.</t>
        </is>
      </c>
    </row>
    <row r="73" ht="23.25" customHeight="1" s="23">
      <c r="A73" s="25" t="inlineStr">
        <is>
          <t>T-073</t>
        </is>
      </c>
      <c r="B73" s="26" t="inlineStr">
        <is>
          <t>5 Performance</t>
        </is>
      </c>
      <c r="C73" s="27" t="inlineStr">
        <is>
          <t>(benchmark)</t>
        </is>
      </c>
      <c r="D73" s="27" t="inlineStr">
        <is>
          <t>Confirm the plan shape: semi-join with the seek on the inner side, not a per-row scan</t>
        </is>
      </c>
      <c r="E73" s="25" t="inlineStr">
        <is>
          <t>Test</t>
        </is>
      </c>
      <c r="F73" s="27" t="inlineStr">
        <is>
          <t>DES §10.6</t>
        </is>
      </c>
      <c r="G73" s="26" t="inlineStr">
        <is>
          <t>T-069</t>
        </is>
      </c>
      <c r="H73" s="25" t="n">
        <v>1</v>
      </c>
      <c r="I73" s="28" t="inlineStr">
        <is>
          <t>Opus 5</t>
        </is>
      </c>
      <c r="J73" s="28" t="inlineStr">
        <is>
          <t>Complete</t>
        </is>
      </c>
      <c r="K73" s="30" t="n">
        <v>1</v>
      </c>
      <c r="L73" s="31" t="n">
        <v>46285</v>
      </c>
      <c r="M73" s="31" t="n">
        <v>46285</v>
      </c>
      <c r="N73" s="28" t="n">
        <v>0.4</v>
      </c>
      <c r="O73" s="32" t="inlineStr">
        <is>
          <t>database/_perf/T070_measure_predicates.sql, plan-shape section. THE DESIGN'S ASSERTION IN SECTION 10.6 IS CONFIRMED and the failure mode D-07 feared did not occur. On all three access patterns the plan shows exactly one semi-join, one seek on auth.ProfilePermissionScope and one seek on auth.TenantClosure, with ZERO scans of either. Counted out of the cached plan XML rather than eyeballed in a graphical plan, so the assertion is a query that can be re-run rather than a screenshot somebody has to trust. The scan count is the figure that matters: a scan of either table would have meant the predicate was being evaluated independently of the row rather than folded into it, which is the shape that would have killed D-07.</t>
        </is>
      </c>
    </row>
    <row r="74" ht="23.25" customHeight="1" s="23">
      <c r="A74" s="25" t="inlineStr">
        <is>
          <t>T-074</t>
        </is>
      </c>
      <c r="B74" s="26" t="inlineStr">
        <is>
          <t>5 Performance</t>
        </is>
      </c>
      <c r="C74" s="27" t="inlineStr">
        <is>
          <t>Build Log</t>
        </is>
      </c>
      <c r="D74" s="27" t="inlineStr">
        <is>
          <t>Record the numbers and plan shapes; formal go/no-go on D-07 at milestone M3</t>
        </is>
      </c>
      <c r="E74" s="25" t="inlineStr">
        <is>
          <t>Documentation</t>
        </is>
      </c>
      <c r="F74" s="27" t="inlineStr">
        <is>
          <t>PLAN §5, D-07</t>
        </is>
      </c>
      <c r="G74" s="26" t="inlineStr">
        <is>
          <t>T-072</t>
        </is>
      </c>
      <c r="H74" s="25" t="n">
        <v>1</v>
      </c>
      <c r="I74" s="28" t="inlineStr">
        <is>
          <t>Opus 5</t>
        </is>
      </c>
      <c r="J74" s="28" t="inlineStr">
        <is>
          <t>Complete</t>
        </is>
      </c>
      <c r="K74" s="30" t="n">
        <v>1</v>
      </c>
      <c r="L74" s="31" t="n">
        <v>46285</v>
      </c>
      <c r="M74" s="31" t="n">
        <v>46285</v>
      </c>
      <c r="N74" s="28" t="n">
        <v>0.9</v>
      </c>
      <c r="O74" s="32" t="inlineStr">
        <is>
          <t>docs/30-performance-measurements.md (PERF-AUTH-001 v1.0) -- a new document rather than a Build Log entry, because the numbers need their method beside them and a workbook cell cannot carry a method. Build Log BL-059 is the pointer. SECTION 7 IS A FORMAL GO ON D-07 AND M3 IS REACHED, 2026-09-20. The GO carries ONE requirement and it is not advice: every query against a tenant-scoped table must filter by tenant itself, because row security is the net that catches the mistake and not the mechanism that narrows the query. Filed as UI-40 and repeated in UIH-AUTH-001 section 7. Nothing was tuned during the measurement, deliberately: a number taken after tuning answers 'can this be made fast' and M3 asked 'is the design right'. Two figures came out worse than the design implies and are published as they came out.</t>
        </is>
      </c>
    </row>
    <row r="75" ht="23.25" customHeight="1" s="23">
      <c r="A75" s="25" t="inlineStr">
        <is>
          <t>T-075</t>
        </is>
      </c>
      <c r="B75" s="26" t="inlineStr">
        <is>
          <t>6 Administration</t>
        </is>
      </c>
      <c r="C75" s="27" t="inlineStr">
        <is>
          <t>130_auth_user_procedures.sql</t>
        </is>
      </c>
      <c r="D75" s="27" t="inlineStr">
        <is>
          <t>uspCreateUser, uspUpdateUser, uspDeactivateUser, uspGetUser, uspSearchUsers</t>
        </is>
      </c>
      <c r="E75" s="25" t="inlineStr">
        <is>
          <t>Procedure</t>
        </is>
      </c>
      <c r="F75" s="27" t="inlineStr">
        <is>
          <t>DES §11.4</t>
        </is>
      </c>
      <c r="G75" s="26" t="inlineStr">
        <is>
          <t>T-052</t>
        </is>
      </c>
      <c r="H75" s="25" t="n">
        <v>1.5</v>
      </c>
      <c r="I75" s="28" t="inlineStr">
        <is>
          <t>Opus 5</t>
        </is>
      </c>
      <c r="J75" s="28" t="inlineStr">
        <is>
          <t>Complete</t>
        </is>
      </c>
      <c r="K75" s="30" t="n">
        <v>1</v>
      </c>
      <c r="L75" s="31" t="n">
        <v>46285</v>
      </c>
      <c r="M75" s="31" t="n">
        <v>46285</v>
      </c>
      <c r="N75" s="28" t="n">
        <v>1</v>
      </c>
      <c r="O75" s="32" t="inlineStr">
        <is>
          <t>database/130_auth_user_procedures.sql: auth.uspCreateUser, uspUpdateUser, uspDeactivateUser, uspGetUser, uspSearchUsers. User.Create is deliberately weaker than profile creation -- a user with no profile can reach nothing -- so the demand is User.Create at the acting tenant rather than anything subtree-wide. Two things came out of writing it. First, the create and deactivate paths tried to write logs.AuthorizationChange and were REFUSED by its check constraint: the sixteen permitted ChangeType values are all about authorization, and a user lifecycle event is not, so both now go to logs.DataChangeLog through logs.uspRecordDataChange (BL-054). Second, uspSearchUsers is a leading-wildcard scan with no written row threshold, which is G-28 and is left open rather than guessed at.</t>
        </is>
      </c>
    </row>
    <row r="76" ht="23.25" customHeight="1" s="23">
      <c r="A76" s="25" t="inlineStr">
        <is>
          <t>T-076</t>
        </is>
      </c>
      <c r="B76" s="26" t="inlineStr">
        <is>
          <t>6 Administration</t>
        </is>
      </c>
      <c r="C76" s="27" t="inlineStr">
        <is>
          <t>140_auth_profile_procedures.sql</t>
        </is>
      </c>
      <c r="D76" s="27" t="inlineStr">
        <is>
          <t>uspCreateProfile — INV-05 scoping, default roles from auth.TenantDefaultRole</t>
        </is>
      </c>
      <c r="E76" s="25" t="inlineStr">
        <is>
          <t>Procedure</t>
        </is>
      </c>
      <c r="F76" s="27" t="inlineStr">
        <is>
          <t>DES §11.4, §11.5</t>
        </is>
      </c>
      <c r="G76" s="26" t="inlineStr">
        <is>
          <t>T-074</t>
        </is>
      </c>
      <c r="H76" s="25" t="n">
        <v>1.25</v>
      </c>
      <c r="I76" s="28" t="inlineStr">
        <is>
          <t>Opus 5</t>
        </is>
      </c>
      <c r="J76" s="28" t="inlineStr">
        <is>
          <t>Complete</t>
        </is>
      </c>
      <c r="K76" s="30" t="n">
        <v>1</v>
      </c>
      <c r="L76" s="31" t="n">
        <v>46285</v>
      </c>
      <c r="M76" s="31" t="n">
        <v>46285</v>
      </c>
      <c r="N76" s="28" t="n">
        <v>1.2</v>
      </c>
      <c r="O76" s="32" t="inlineStr">
        <is>
          <t>database/140_auth_profile_procedures.sql: auth.uspCreateProfile. Carries INV-05 scoping on every role it grants and resolves the default roles by walking auth.TenantClosure upward to the nearest ancestor holding auth.TenantDefaultRole rows, per section 11.5 -- it does not read the acting tenant's own rows and stop. The default-role grant was EXTRACTED into auth.uspGrantTenantDefaultRoles so that auth.uspRegisterExternalUser, which runs unauthenticated and cannot call this procedure at all, grants through the same code (BL-056). That extraction is the security decision in this task: duplicating two INSERTs is tolerable, duplicating INV-04 is not, because two copies of a security rule drift and the copy that drifts is the one nobody is testing. One scope rebuild per profile, after all grants, not per grant.</t>
        </is>
      </c>
    </row>
    <row r="77" ht="23.25" customHeight="1" s="23">
      <c r="A77" s="25" t="inlineStr">
        <is>
          <t>T-077</t>
        </is>
      </c>
      <c r="B77" s="26" t="inlineStr">
        <is>
          <t>6 Administration</t>
        </is>
      </c>
      <c r="C77" s="27" t="inlineStr">
        <is>
          <t>140_auth_profile_procedures.sql</t>
        </is>
      </c>
      <c r="D77" s="27" t="inlineStr">
        <is>
          <t>uspUpdateProfile, uspDeactivateProfile, uspListProfilesForUser</t>
        </is>
      </c>
      <c r="E77" s="25" t="inlineStr">
        <is>
          <t>Procedure</t>
        </is>
      </c>
      <c r="F77" s="27" t="inlineStr">
        <is>
          <t>DES §8.5</t>
        </is>
      </c>
      <c r="G77" s="26" t="inlineStr">
        <is>
          <t>T-075</t>
        </is>
      </c>
      <c r="H77" s="25" t="n">
        <v>1</v>
      </c>
      <c r="I77" s="28" t="inlineStr">
        <is>
          <t>Opus 5</t>
        </is>
      </c>
      <c r="J77" s="28" t="inlineStr">
        <is>
          <t>Complete</t>
        </is>
      </c>
      <c r="K77" s="30" t="n">
        <v>1</v>
      </c>
      <c r="L77" s="31" t="n">
        <v>46285</v>
      </c>
      <c r="M77" s="31" t="n">
        <v>46285</v>
      </c>
      <c r="N77" s="28" t="n">
        <v>0.7</v>
      </c>
      <c r="O77" s="32" t="inlineStr">
        <is>
          <t>database/140_auth_profile_procedures.sql: auth.uspUpdateProfile, uspDeactivateProfile, uspListProfilesForUser. uspUpdateProfile is where INV-03 stops being merely an index: promoting a profile to default demotes the user's current default in the same transaction, because the filtered unique index makes two defaults unrepresentable and an ordinary UPDATE would simply fail. uspDeactivateProfile is a soft delete and rebuilds the scope rather than deleting from auth.ProfilePermissionScope, so the derived table stays a pure function of the grants. uspListProfilesForUser is the read behind the profile switcher and is the one procedure here a signed-in user calls about themselves, so it demands nothing.</t>
        </is>
      </c>
    </row>
    <row r="78" ht="15" customHeight="1" s="23">
      <c r="A78" s="25" t="inlineStr">
        <is>
          <t>T-078</t>
        </is>
      </c>
      <c r="B78" s="26" t="inlineStr">
        <is>
          <t>6 Administration</t>
        </is>
      </c>
      <c r="C78" s="27" t="inlineStr">
        <is>
          <t>140_auth_profile_procedures.sql</t>
        </is>
      </c>
      <c r="D78" s="27" t="inlineStr">
        <is>
          <t>uspSwitchProfile — ownership check, usability check, step-up, event, context and navigation returned in one round trip</t>
        </is>
      </c>
      <c r="E78" s="25" t="inlineStr">
        <is>
          <t>Procedure</t>
        </is>
      </c>
      <c r="F78" s="27" t="inlineStr">
        <is>
          <t>DES §12</t>
        </is>
      </c>
      <c r="G78" s="26" t="inlineStr">
        <is>
          <t>T-075</t>
        </is>
      </c>
      <c r="H78" s="25" t="n">
        <v>1.5</v>
      </c>
      <c r="I78" s="28" t="inlineStr">
        <is>
          <t>Opus 5</t>
        </is>
      </c>
      <c r="J78" s="28" t="inlineStr">
        <is>
          <t>Complete</t>
        </is>
      </c>
      <c r="K78" s="30" t="n">
        <v>1</v>
      </c>
      <c r="L78" s="31" t="n">
        <v>46285</v>
      </c>
      <c r="M78" s="31" t="n">
        <v>46285</v>
      </c>
      <c r="N78" s="28" t="n">
        <v>1.4</v>
      </c>
      <c r="O78" s="32" t="inlineStr">
        <is>
          <t>database/140_auth_profile_procedures.sql: auth.uspSwitchProfile. Ownership check, usability check on both the profile and its tenant chain, step-up where the resolved policy demands it, a logs.AuthenticationEvent row, and the new context and navigation returned together so the UI repaints in one round trip. THE SWITCH USED TO THROW E-50022 ON EVERY CALL, AFTER SUCCEEDING, and finding out why is most of this task's actual days: sp_set_session_context with @read_only = 1 cannot be set twice on one connection, so the procedure CANNOT re-point the connection it is running on, and the read-only flag is precisely what stops a caller re-pointing a live connection at another tenant mid-request. It now records the switch against the session and hands the navigation read the new profile explicitly. Two costs the caller pays and no reader would guess: a sign-in takes two connections, and the switching connection is SPENT. Filed as G-36, BL-057, and stated for the UI in UIH-AUTH-001 sections 4.3 and 5.</t>
        </is>
      </c>
    </row>
    <row r="79" ht="23.25" customHeight="1" s="23">
      <c r="A79" s="25" t="inlineStr">
        <is>
          <t>T-079</t>
        </is>
      </c>
      <c r="B79" s="26" t="inlineStr">
        <is>
          <t>6 Administration</t>
        </is>
      </c>
      <c r="C79" s="27" t="inlineStr">
        <is>
          <t>145_auth_role_procedures.sql</t>
        </is>
      </c>
      <c r="D79" s="27" t="inlineStr">
        <is>
          <t>uspAssignRoleToProfile — all four clauses of INV-05, the INV-06 self-grant guard, and the authority actually relied on recorded</t>
        </is>
      </c>
      <c r="E79" s="25" t="inlineStr">
        <is>
          <t>Procedure</t>
        </is>
      </c>
      <c r="F79" s="27" t="inlineStr">
        <is>
          <t>DES §11.1, §11.3</t>
        </is>
      </c>
      <c r="G79" s="26" t="inlineStr">
        <is>
          <t>T-075</t>
        </is>
      </c>
      <c r="H79" s="25" t="n">
        <v>2</v>
      </c>
      <c r="I79" s="28" t="inlineStr">
        <is>
          <t>Opus 5</t>
        </is>
      </c>
      <c r="J79" s="28" t="inlineStr">
        <is>
          <t>Complete</t>
        </is>
      </c>
      <c r="K79" s="30" t="n">
        <v>1</v>
      </c>
      <c r="L79" s="31" t="n">
        <v>46285</v>
      </c>
      <c r="M79" s="31" t="n">
        <v>46285</v>
      </c>
      <c r="N79" s="28" t="n">
        <v>1.3</v>
      </c>
      <c r="O79" s="32" t="inlineStr">
        <is>
          <t>database/145_auth_role_procedures.sql: auth.uspAssignRoleToProfile. All four clauses of INV-05 with a distinct error each -- E-50040 the target profile outside the granter's authority, E-50041 the scope outside it, E-50042 the role's owning tenant not covering the scope (INV-04), E-50044 the self-grant guard (INV-06, default deny, overridable only through the Authz.AllowSelfGrant setting and logged either way). Four clauses and four numbers rather than one number with four messages, so that a caller can branch and a trail row says which rule stopped it. Writes logs.AuthorizationChange with ActorAuthorityTenantId -- which grant of authority was used, not merely who acted -- and rebuilds the profile's scope. One measured surprise: E-50042 shadows E-50043 entirely, which is why E-50043 is registered and unreachable.</t>
        </is>
      </c>
    </row>
    <row r="80" ht="23.25" customHeight="1" s="23">
      <c r="A80" s="25" t="inlineStr">
        <is>
          <t>T-080</t>
        </is>
      </c>
      <c r="B80" s="26" t="inlineStr">
        <is>
          <t>6 Administration</t>
        </is>
      </c>
      <c r="C80" s="27" t="inlineStr">
        <is>
          <t>145_auth_role_procedures.sql</t>
        </is>
      </c>
      <c r="D80" s="27" t="inlineStr">
        <is>
          <t>uspRevokeRoleFromProfile, uspListAssignableRoles</t>
        </is>
      </c>
      <c r="E80" s="25" t="inlineStr">
        <is>
          <t>Procedure</t>
        </is>
      </c>
      <c r="F80" s="27" t="inlineStr">
        <is>
          <t>DES §11.1</t>
        </is>
      </c>
      <c r="G80" s="26" t="inlineStr">
        <is>
          <t>T-078</t>
        </is>
      </c>
      <c r="H80" s="25" t="n">
        <v>0.75</v>
      </c>
      <c r="I80" s="28" t="inlineStr">
        <is>
          <t>Opus 5</t>
        </is>
      </c>
      <c r="J80" s="28" t="inlineStr">
        <is>
          <t>Complete</t>
        </is>
      </c>
      <c r="K80" s="30" t="n">
        <v>1</v>
      </c>
      <c r="L80" s="31" t="n">
        <v>46285</v>
      </c>
      <c r="M80" s="31" t="n">
        <v>46285</v>
      </c>
      <c r="N80" s="28" t="n">
        <v>0.6</v>
      </c>
      <c r="O80" s="32" t="inlineStr">
        <is>
          <t>database/145_auth_role_procedures.sql: auth.uspRevokeRoleFromProfile, uspListAssignableRoles. The revoke is a soft delete followed by a scope rebuild, and it demands the same authority as the grant over the same two dimensions -- being able to give a role away does not imply being able to take a different one back. uspListAssignableRoles is the procedure the UI needs to avoid offering a role it will then refuse, and it applies exactly the INV-04 and INV-05 tests the assign applies, so the list and the refusal cannot disagree. It also honours auth.Role.IsAssignable = 0, which is how a role can exist, be readable and never be offered -- exercised by the ERRCAT_FROZEN fixture.</t>
        </is>
      </c>
    </row>
    <row r="81" ht="15" customHeight="1" s="23">
      <c r="A81" s="25" t="inlineStr">
        <is>
          <t>T-081</t>
        </is>
      </c>
      <c r="B81" s="26" t="inlineStr">
        <is>
          <t>6 Administration</t>
        </is>
      </c>
      <c r="C81" s="27" t="inlineStr">
        <is>
          <t>145_auth_role_procedures.sql</t>
        </is>
      </c>
      <c r="D81" s="27" t="inlineStr">
        <is>
          <t>uspDefineRole, uspUpdateRole, uspSetRolePermissions — system roles protected</t>
        </is>
      </c>
      <c r="E81" s="25" t="inlineStr">
        <is>
          <t>Procedure</t>
        </is>
      </c>
      <c r="F81" s="27" t="inlineStr">
        <is>
          <t>DES §8.2, INV-10</t>
        </is>
      </c>
      <c r="G81" s="26" t="inlineStr">
        <is>
          <t>T-044</t>
        </is>
      </c>
      <c r="H81" s="25" t="n">
        <v>1</v>
      </c>
      <c r="I81" s="28" t="inlineStr">
        <is>
          <t>Opus 5</t>
        </is>
      </c>
      <c r="J81" s="28" t="inlineStr">
        <is>
          <t>Complete</t>
        </is>
      </c>
      <c r="K81" s="30" t="n">
        <v>1</v>
      </c>
      <c r="L81" s="31" t="n">
        <v>46285</v>
      </c>
      <c r="M81" s="31" t="n">
        <v>46285</v>
      </c>
      <c r="N81" s="28" t="n">
        <v>0.9</v>
      </c>
      <c r="O81" s="32" t="inlineStr">
        <is>
          <t>database/145_auth_role_procedures.sql: auth.uspDefineRole, uspUpdateRole, uspSetRolePermissions. uspDefineRole hard-codes IsSystemRole = 0 -- INV-10 reserves the flag for what 115_seed_reference_data.sql ships, so a caller cannot mint a system role. uspSetRolePermissions takes a JSON ARRAY of permission codes and replaces the set whole rather than diffing it, which is the shape that makes the operation idempotent and the audit row meaningful; a NULL payload is refused as well as a malformed one (E-50046), because "I did not say" and "I said none" are different intents and [] is the second. WHAT INV-10 ACTUALLY REFUSES IS NOT WHAT THE OBVIOUS GUESS WOULD BE, and working it out is most of this task: a system role's NAME and DESCRIPTION may be edited, because a label is not a meaning and a deployment may want PLATFORM_ADMIN to read 'System Administrator' on screen; its PERMISSION SET may not be edited at all, because that set IS the meaning Appendix A documents; and its IsAssignable flag may be set back to 1 but never cleared, because 900_bootstrap_first_admin.sql grants several shipped roles BY CODE and a frozen role refuses every new grant with E-50047, so freezing one turns the next deployment's bootstrap into a failure nobody would connect back to this call. E-50172 is the procedure's number and auth.trg_au_updt_Role's E-50012 is the backstop that also holds for SSMS -- but the trigger does not guard IsAssignable at all, so that rule lives in the procedure or nowhere, which is exactly the kind of rule G-33 says the design must not leave unstated. Roles are keyed (ApplicationId, OwnerTenantId, RoleCode), so two tenants may both define BILLING_ADMIN and neither collides.</t>
        </is>
      </c>
    </row>
    <row r="82" ht="23.25" customHeight="1" s="23">
      <c r="A82" s="25" t="inlineStr">
        <is>
          <t>T-082</t>
        </is>
      </c>
      <c r="B82" s="26" t="inlineStr">
        <is>
          <t>6 Administration</t>
        </is>
      </c>
      <c r="C82" s="27" t="inlineStr">
        <is>
          <t>075_auth_ui_catalog.sql</t>
        </is>
      </c>
      <c r="D82" s="27" t="inlineStr">
        <is>
          <t>auth.UiElement and auth.UiElementPermission</t>
        </is>
      </c>
      <c r="E82" s="25" t="inlineStr">
        <is>
          <t>Table</t>
        </is>
      </c>
      <c r="F82" s="27" t="inlineStr">
        <is>
          <t>DES §13.1</t>
        </is>
      </c>
      <c r="G82" s="26" t="inlineStr">
        <is>
          <t>T-043</t>
        </is>
      </c>
      <c r="H82" s="25" t="n">
        <v>0.75</v>
      </c>
      <c r="I82" s="28" t="inlineStr">
        <is>
          <t>Opus 5</t>
        </is>
      </c>
      <c r="J82" s="28" t="inlineStr">
        <is>
          <t>Complete</t>
        </is>
      </c>
      <c r="K82" s="30" t="n">
        <v>1</v>
      </c>
      <c r="L82" s="31" t="n">
        <v>46285</v>
      </c>
      <c r="M82" s="31" t="n">
        <v>46285</v>
      </c>
      <c r="N82" s="28" t="n">
        <v>0.4</v>
      </c>
      <c r="O82" s="32" t="inlineStr">
        <is>
          <t>database/075_auth_ui_catalog.sql: auth.UiElement and auth.UiElementPermission. The UI project's contract surface, keyed by ELEMENT CODE and never by role name -- a screen is hidden because the profile lacks the permission the element requires, not because of who the person is, which is what lets the navigation survive a role being renamed or re-scoped. Self-referencing ParentUiElementId for the tree, DisplayOrder for the ordering, and an element may require more than one permission (the join table is many-to-many on purpose). Deployed in every variant even where a variant's UI is smaller, because an unused row costs nothing and a branching deployment costs plenty.</t>
        </is>
      </c>
    </row>
    <row r="83" ht="15" customHeight="1" s="23">
      <c r="A83" s="25" t="inlineStr">
        <is>
          <t>T-083</t>
        </is>
      </c>
      <c r="B83" s="26" t="inlineStr">
        <is>
          <t>6 Administration</t>
        </is>
      </c>
      <c r="C83" s="27" t="inlineStr">
        <is>
          <t>150_auth_query_procedures.sql</t>
        </is>
      </c>
      <c r="D83" s="27" t="inlineStr">
        <is>
          <t>auth.uspGetProfileContext — user, profile, tenant, full tenant path, profile count, bypass flag</t>
        </is>
      </c>
      <c r="E83" s="25" t="inlineStr">
        <is>
          <t>Procedure</t>
        </is>
      </c>
      <c r="F83" s="27" t="inlineStr">
        <is>
          <t>DES §13.4, UI-01</t>
        </is>
      </c>
      <c r="G83" s="26" t="inlineStr">
        <is>
          <t>T-052</t>
        </is>
      </c>
      <c r="H83" s="25" t="n">
        <v>1</v>
      </c>
      <c r="I83" s="28" t="inlineStr">
        <is>
          <t>Opus 5</t>
        </is>
      </c>
      <c r="J83" s="28" t="inlineStr">
        <is>
          <t>Complete</t>
        </is>
      </c>
      <c r="K83" s="30" t="n">
        <v>1</v>
      </c>
      <c r="L83" s="31" t="n">
        <v>46285</v>
      </c>
      <c r="M83" s="31" t="n">
        <v>46285</v>
      </c>
      <c r="N83" s="28" t="n">
        <v>0.7</v>
      </c>
      <c r="O83" s="32" t="inlineStr">
        <is>
          <t>database/150_auth_query_procedures.sql: auth.uspGetProfileContext. Thirty columns in one result set -- user, profile, acting tenant with its FULL PATH, application, session and SwitchableProfileCount -- because UI-01 is that the UI must always be able to show which tenant and profile is in use, and a UI that needs four calls to paint a header will make three of them optional. The full tenant path is materialised here rather than left to the UI to walk. SwitchableProfileCount exists so the UI knows whether to render a profile switcher at all without calling uspListProfilesForUser first. Every column is documented in UIH-AUTH-001 section 4.1 and the result set is FROZEN at M4: columns may be added at the end, never removed or reordered.</t>
        </is>
      </c>
    </row>
    <row r="84" ht="23.25" customHeight="1" s="23">
      <c r="A84" s="25" t="inlineStr">
        <is>
          <t>T-084</t>
        </is>
      </c>
      <c r="B84" s="26" t="inlineStr">
        <is>
          <t>6 Administration</t>
        </is>
      </c>
      <c r="C84" s="27" t="inlineStr">
        <is>
          <t>150_auth_query_procedures.sql</t>
        </is>
      </c>
      <c r="D84" s="27" t="inlineStr">
        <is>
          <t>auth.uspGetNavigationForProfile — tree with CanView/CanEdit; elements the profile cannot view are omitted entirely</t>
        </is>
      </c>
      <c r="E84" s="25" t="inlineStr">
        <is>
          <t>Procedure</t>
        </is>
      </c>
      <c r="F84" s="27" t="inlineStr">
        <is>
          <t>DES §13.2</t>
        </is>
      </c>
      <c r="G84" s="26" t="inlineStr">
        <is>
          <t>T-081</t>
        </is>
      </c>
      <c r="H84" s="25" t="n">
        <v>1.5</v>
      </c>
      <c r="I84" s="28" t="inlineStr">
        <is>
          <t>Opus 5</t>
        </is>
      </c>
      <c r="J84" s="28" t="inlineStr">
        <is>
          <t>Complete</t>
        </is>
      </c>
      <c r="K84" s="30" t="n">
        <v>1</v>
      </c>
      <c r="L84" s="31" t="n">
        <v>46285</v>
      </c>
      <c r="M84" s="31" t="n">
        <v>46285</v>
      </c>
      <c r="N84" s="28" t="n">
        <v>0.8</v>
      </c>
      <c r="O84" s="32" t="inlineStr">
        <is>
          <t>database/150_auth_query_procedures.sql: auth.uspGetNavigationForProfile. Returns the element tree with CanView and CanEdit. THE LOAD-BEARING FACT, AND THE ONE MOST LIKELY TO BE MISREAD: CanView is the constant 1 -- the FILTERING is the security, and an element the profile cannot view is absent from the result rather than present with CanView = 0. A UI that renders a disabled item for a missing permission has told an attacker what exists. CanEdit genuinely varies and is the flag the UI acts on. @AssumeUserProfileId lets an administrator preview another of THE SAME USER'S profiles, which is a support tool and not an impersonation route. Stated in UIH-AUTH-001 section 4.2.</t>
        </is>
      </c>
    </row>
    <row r="85" ht="23.25" customHeight="1" s="23">
      <c r="A85" s="25" t="inlineStr">
        <is>
          <t>T-085</t>
        </is>
      </c>
      <c r="B85" s="26" t="inlineStr">
        <is>
          <t>6 Administration</t>
        </is>
      </c>
      <c r="C85" s="27" t="inlineStr">
        <is>
          <t>150_auth_query_procedures.sql</t>
        </is>
      </c>
      <c r="D85" s="27" t="inlineStr">
        <is>
          <t>auth.uspCheckPermission — the non-throwing counterpart of uspDemandPermission</t>
        </is>
      </c>
      <c r="E85" s="25" t="inlineStr">
        <is>
          <t>Procedure</t>
        </is>
      </c>
      <c r="F85" s="27" t="inlineStr">
        <is>
          <t>DES §9.1</t>
        </is>
      </c>
      <c r="G85" s="26" t="inlineStr">
        <is>
          <t>T-052</t>
        </is>
      </c>
      <c r="H85" s="25" t="n">
        <v>0.5</v>
      </c>
      <c r="I85" s="28" t="inlineStr">
        <is>
          <t>Opus 5</t>
        </is>
      </c>
      <c r="J85" s="28" t="inlineStr">
        <is>
          <t>Complete</t>
        </is>
      </c>
      <c r="K85" s="30" t="n">
        <v>1</v>
      </c>
      <c r="L85" s="31" t="n">
        <v>46285</v>
      </c>
      <c r="M85" s="31" t="n">
        <v>46285</v>
      </c>
      <c r="N85" s="28" t="n">
        <v>0.3</v>
      </c>
      <c r="O85" s="32" t="inlineStr">
        <is>
          <t>database/150_auth_query_procedures.sql: auth.uspCheckPermission -- the non-throwing counterpart of uspDemandPermission, returning a bit so a caller can ask a question rather than take a refusal. It shares auth.udfHasPermission with the demanding version, so the two cannot answer differently; that sharing is the whole point of the task. It raises E-50031 on a malformed request (an unknown permission code, as opposed to a denied one), which is the distinction a caller needs: 'you may not' is an answer, 'there is no such permission' is a bug in the caller.</t>
        </is>
      </c>
    </row>
    <row r="86" ht="23.25" customHeight="1" s="23">
      <c r="A86" s="25" t="inlineStr">
        <is>
          <t>T-086</t>
        </is>
      </c>
      <c r="B86" s="26" t="inlineStr">
        <is>
          <t>6 Administration</t>
        </is>
      </c>
      <c r="C86" s="27" t="inlineStr">
        <is>
          <t>080_auth_registration.sql</t>
        </is>
      </c>
      <c r="D86" s="27" t="inlineStr">
        <is>
          <t>auth.OrganizationRegistration</t>
        </is>
      </c>
      <c r="E86" s="25" t="inlineStr">
        <is>
          <t>Table</t>
        </is>
      </c>
      <c r="F86" s="27" t="inlineStr">
        <is>
          <t>DES §16.4</t>
        </is>
      </c>
      <c r="G86" s="26" t="inlineStr">
        <is>
          <t>T-046</t>
        </is>
      </c>
      <c r="H86" s="25" t="n">
        <v>0.5</v>
      </c>
      <c r="I86" s="28" t="inlineStr">
        <is>
          <t>Opus 5</t>
        </is>
      </c>
      <c r="J86" s="28" t="inlineStr">
        <is>
          <t>Complete</t>
        </is>
      </c>
      <c r="K86" s="30" t="n">
        <v>1</v>
      </c>
      <c r="L86" s="31" t="n">
        <v>46285</v>
      </c>
      <c r="M86" s="31" t="n">
        <v>46285</v>
      </c>
      <c r="N86" s="28" t="n">
        <v>0.3</v>
      </c>
      <c r="O86" s="32" t="inlineStr">
        <is>
          <t>database/080_auth_registration.sql: auth.OrganizationRegistration. The Variant 3 self-registration queue, deployed in every variant for the same reason as 075. Carries the submitted organization name, the requester's details, the client address, a status and the approving profile. Two notes. The client address is captured and NOT throttled on, which is G-24 -- the column that would make a rate limit possible is there and nothing reads it yet. And the status vocabulary is a closed check constraint, so a new state cannot be introduced by a procedure quietly writing a new string.</t>
        </is>
      </c>
    </row>
    <row r="87" ht="15" customHeight="1" s="23">
      <c r="A87" s="25" t="inlineStr">
        <is>
          <t>T-087</t>
        </is>
      </c>
      <c r="B87" s="26" t="inlineStr">
        <is>
          <t>6 Administration</t>
        </is>
      </c>
      <c r="C87" s="27" t="inlineStr">
        <is>
          <t>155_auth_registration_procedures.sql</t>
        </is>
      </c>
      <c r="D87" s="27" t="inlineStr">
        <is>
          <t>uspRegisterOrganization, uspApproveOrganization, uspRegisterExternalUser — default roles granted automatically, ROLE_ADMIN deliberately not</t>
        </is>
      </c>
      <c r="E87" s="25" t="inlineStr">
        <is>
          <t>Procedure</t>
        </is>
      </c>
      <c r="F87" s="27" t="inlineStr">
        <is>
          <t>DES §16.4</t>
        </is>
      </c>
      <c r="G87" s="26" t="inlineStr">
        <is>
          <t>T-084</t>
        </is>
      </c>
      <c r="H87" s="25" t="n">
        <v>1.5</v>
      </c>
      <c r="I87" s="28" t="inlineStr">
        <is>
          <t>Opus 5</t>
        </is>
      </c>
      <c r="J87" s="28" t="inlineStr">
        <is>
          <t>Complete</t>
        </is>
      </c>
      <c r="K87" s="30" t="n">
        <v>1</v>
      </c>
      <c r="L87" s="31" t="n">
        <v>46285</v>
      </c>
      <c r="M87" s="31" t="n">
        <v>46285</v>
      </c>
      <c r="N87" s="28" t="n">
        <v>1.5</v>
      </c>
      <c r="O87" s="32" t="inlineStr">
        <is>
          <t>database/155_auth_registration_procedures.sql: auth.uspRegisterOrganization, uspApproveOrganization, uspRegisterExternalUser. APPROVAL IS A DELIBERATE HUMAN GATE -- self-service tenant creation is how an attacker gets a tenant of their own inside your hierarchy. The two registration procedures are the only unauthenticated writers in the database, so they demand nothing and therefore validate everything: E-50062 has four raise sites across the two of them, including an @ApplicationCode naming no live application, which is a DEPLOYMENT fault rather than something the registrant did. uspApproveOrganization creates the tenant under the branch named by Registration.ExternalBranchTenantCode and writes NO auth.TenantDefaultRole rows, because those live on the branch and are inherited (BL-052) -- copying them down would freeze each organization's defaults at its approval date. uspRegisterExternalUser inserts into auth.[User] and auth.UserProfile directly but grants through auth.uspGrantTenantDefaultRoles.</t>
        </is>
      </c>
    </row>
    <row r="88" ht="34.5" customHeight="1" s="23">
      <c r="A88" s="25" t="inlineStr">
        <is>
          <t>T-088</t>
        </is>
      </c>
      <c r="B88" s="26" t="inlineStr">
        <is>
          <t>6 Administration</t>
        </is>
      </c>
      <c r="C88" s="27" t="inlineStr">
        <is>
          <t>095_auth_views.sql</t>
        </is>
      </c>
      <c r="D88" s="27" t="inlineStr">
        <is>
          <t>auth.vwUserProfile, auth.vwProfilePermission, auth.vwRoleDefinition, logs.vwAuthorizationTrail</t>
        </is>
      </c>
      <c r="E88" s="25" t="inlineStr">
        <is>
          <t>View</t>
        </is>
      </c>
      <c r="F88" s="27" t="inlineStr">
        <is>
          <t>DES §15.6</t>
        </is>
      </c>
      <c r="G88" s="26" t="inlineStr">
        <is>
          <t>T-078</t>
        </is>
      </c>
      <c r="H88" s="25" t="n">
        <v>1</v>
      </c>
      <c r="I88" s="28" t="inlineStr">
        <is>
          <t>Opus 5</t>
        </is>
      </c>
      <c r="J88" s="28" t="inlineStr">
        <is>
          <t>Complete</t>
        </is>
      </c>
      <c r="K88" s="30" t="n">
        <v>1</v>
      </c>
      <c r="L88" s="31" t="n">
        <v>46285</v>
      </c>
      <c r="M88" s="31" t="n">
        <v>46285</v>
      </c>
      <c r="N88" s="28" t="n">
        <v>0.5</v>
      </c>
      <c r="O88" s="32" t="inlineStr">
        <is>
          <t>database/095_auth_views.sql: auth.vwUserProfile, auth.vwProfilePermission, auth.vwRoleDefinition, logs.vwAuthorizationTrail, plus auth.vwTenantHierarchy from Phase 1. vwProfilePermission is the 'why does this person have this' view and is the one support and audit both reach for -- it resolves a permission back to the grant and the role that carried it, rather than merely reporting the flattened outcome. logs.vwAuthorizationTrail reads logs.AuthorizationChange only, whose ChangeType is a closed set of sixteen values; the user lifecycle trail is in logs.DataChangeLog and is deliberately a different view, because a trail whose types are open is a trail nobody can query (BL-054).</t>
        </is>
      </c>
    </row>
    <row r="89" ht="23.25" customHeight="1" s="23">
      <c r="A89" s="25" t="inlineStr">
        <is>
          <t>T-089</t>
        </is>
      </c>
      <c r="B89" s="26" t="inlineStr">
        <is>
          <t>6 Administration</t>
        </is>
      </c>
      <c r="C89" s="27" t="inlineStr">
        <is>
          <t>115_seed_reference_data.sql</t>
        </is>
      </c>
      <c r="D89" s="27" t="inlineStr">
        <is>
          <t>Seed permissions, the fourteen baseline roles, application row, tenant types, settings, registry rows</t>
        </is>
      </c>
      <c r="E89" s="25" t="inlineStr">
        <is>
          <t>Script</t>
        </is>
      </c>
      <c r="F89" s="27" t="inlineStr">
        <is>
          <t>DES §16.1, §16.2</t>
        </is>
      </c>
      <c r="G89" s="26" t="inlineStr">
        <is>
          <t>T-080</t>
        </is>
      </c>
      <c r="H89" s="25" t="n">
        <v>1.5</v>
      </c>
      <c r="I89" s="28" t="inlineStr">
        <is>
          <t>Opus 5</t>
        </is>
      </c>
      <c r="J89" s="28" t="inlineStr">
        <is>
          <t>Complete</t>
        </is>
      </c>
      <c r="K89" s="30" t="n">
        <v>1</v>
      </c>
      <c r="L89" s="31" t="n">
        <v>46285</v>
      </c>
      <c r="M89" s="31" t="n">
        <v>46285</v>
      </c>
      <c r="N89" s="28" t="n">
        <v>1.1</v>
      </c>
      <c r="O89" s="32" t="inlineStr">
        <is>
          <t>database/115_seed_reference_data.sql sections 1 to 5: the TEMPLATE application row, the 35 permissions of Appendix A in their seven families, the fourteen baseline roles and their permission sets, and the root tenant. MERGE throughout, never a bare INSERT, so the file converges on a populated database rather than failing on it -- and SettingValue is deliberately NOT updated on a match, so a re-run never overwrites an operator's tuning. THE ROOT TENANT MOVED HERE FROM 900 and that was forced by a foreign key, not chosen: auth.Role.OwnerTenantId is NOT NULL with a composite FK, the baseline roles are owned by the root so INV-04 lets them be assigned anywhere, and 900 grants five roles BY CODE and refuses with E-50087 without them (BL-051, G-25). Must NOT seed the seven tenant types -- 030 owns those. Two of DATA_STEWARD's and APPROVER's grants needed Data.Update of necessity, which is G-38.</t>
        </is>
      </c>
    </row>
    <row r="90" ht="23.25" customHeight="1" s="23">
      <c r="A90" s="25" t="inlineStr">
        <is>
          <t>T-090</t>
        </is>
      </c>
      <c r="B90" s="26" t="inlineStr">
        <is>
          <t>6 Administration</t>
        </is>
      </c>
      <c r="C90" s="27" t="inlineStr">
        <is>
          <t>115_seed_reference_data.sql</t>
        </is>
      </c>
      <c r="D90" s="27" t="inlineStr">
        <is>
          <t>Seed the starter UI element catalogue covering the demo domain</t>
        </is>
      </c>
      <c r="E90" s="25" t="inlineStr">
        <is>
          <t>Script</t>
        </is>
      </c>
      <c r="F90" s="27" t="inlineStr">
        <is>
          <t>DES §13.1</t>
        </is>
      </c>
      <c r="G90" s="26" t="inlineStr">
        <is>
          <t>T-087</t>
        </is>
      </c>
      <c r="H90" s="25" t="n">
        <v>0.75</v>
      </c>
      <c r="I90" s="28" t="inlineStr">
        <is>
          <t>Opus 5</t>
        </is>
      </c>
      <c r="J90" s="28" t="inlineStr">
        <is>
          <t>Complete</t>
        </is>
      </c>
      <c r="K90" s="30" t="n">
        <v>1</v>
      </c>
      <c r="L90" s="31" t="n">
        <v>46285</v>
      </c>
      <c r="M90" s="31" t="n">
        <v>46285</v>
      </c>
      <c r="N90" s="28" t="n">
        <v>0.5</v>
      </c>
      <c r="O90" s="32" t="inlineStr">
        <is>
          <t>database/115_seed_reference_data.sql section 6 (UI catalogue) and the three config rows. The starter UI element catalogue covers the demo domain end to end so that a cloning project has a working navigation tree to copy rather than an empty table to guess at. The three settings seeded here and NOWHERE ELSE: Registration.ExternalBranchTenantCode = EXTORG, Perf.PermissionProbeSampleRate = 0 and Perf.PermissionProbeRetentionDays = 14. The other eighteen are seeded by 025 because 110 and 112 read them and install first, and they fail CLOSED on a missing setting. No key appears in both files, which is the rule BL-050 exists to state: a setting seeded in two places is a setting with two defaults, and the second one to run wins silently. The probe rate ships at 0 -- the predicate functions never write, so the probe is the caller-side measurement G-22 asked for, and 1 would distort what it measures.</t>
        </is>
      </c>
    </row>
    <row r="91" ht="15" customHeight="1" s="23">
      <c r="A91" s="25" t="inlineStr">
        <is>
          <t>T-091</t>
        </is>
      </c>
      <c r="B91" s="26" t="inlineStr">
        <is>
          <t>6 Administration</t>
        </is>
      </c>
      <c r="C91" s="27" t="inlineStr">
        <is>
          <t>160_auth_admin_procedures.sql</t>
        </is>
      </c>
      <c r="D91" s="27" t="inlineStr">
        <is>
          <t>uspGrantPlatformAdmin, uspRevokePlatformAdmin, uspRebuildEffectivePermissions, uspRebuildTenantClosure wrappers</t>
        </is>
      </c>
      <c r="E91" s="25" t="inlineStr">
        <is>
          <t>Procedure</t>
        </is>
      </c>
      <c r="F91" s="27" t="inlineStr">
        <is>
          <t>DES §16.3, INV-09</t>
        </is>
      </c>
      <c r="G91" s="26" t="inlineStr">
        <is>
          <t>T-087</t>
        </is>
      </c>
      <c r="H91" s="25" t="n">
        <v>1</v>
      </c>
      <c r="I91" s="28" t="inlineStr">
        <is>
          <t>Opus 5</t>
        </is>
      </c>
      <c r="J91" s="28" t="inlineStr">
        <is>
          <t>Complete</t>
        </is>
      </c>
      <c r="K91" s="30" t="n">
        <v>1</v>
      </c>
      <c r="L91" s="31" t="n">
        <v>46285</v>
      </c>
      <c r="M91" s="31" t="n">
        <v>46285</v>
      </c>
      <c r="N91" s="28" t="n">
        <v>0.8</v>
      </c>
      <c r="O91" s="32" t="inlineStr">
        <is>
          <t>database/160_auth_admin_procedures.sql: auth.uspGrantPlatformAdmin, uspRevokePlatformAdmin, uspRebuildEffectivePermissions. INV-09 is the point: platform permissions take effect only alongside IsPlatformAdmin, so the flag and the grant are two independent things and neither implies the other -- auth.udfHasPermission tests both, and _tests/040 section 8b proves the ORDER of the two checks is observable (E-50108 and not E-50107). E-50084 guards both the grant and the revoke, which is G-35 (now closed by the Appendix B amendment), and it is raised BEFORE uspDemandPermission because the actor must be a platform admin to be asking at all. uspRebuildEffectivePermissions is the all-profiles rebuild whose 224x advantage T-071 measured and G-39 records.</t>
        </is>
      </c>
    </row>
    <row r="92" ht="23.25" customHeight="1" s="23">
      <c r="A92" s="25" t="inlineStr">
        <is>
          <t>T-092</t>
        </is>
      </c>
      <c r="B92" s="26" t="inlineStr">
        <is>
          <t>6 Administration</t>
        </is>
      </c>
      <c r="C92" s="27" t="inlineStr">
        <is>
          <t>900_bootstrap_first_admin.sql</t>
        </is>
      </c>
      <c r="D92" s="27" t="inlineStr">
        <is>
          <t>Bootstrap script — refuses to run if any profile exists; password supplied by -v, never defaulted; bootstrap rows in the trail</t>
        </is>
      </c>
      <c r="E92" s="25" t="inlineStr">
        <is>
          <t>Script</t>
        </is>
      </c>
      <c r="F92" s="27" t="inlineStr">
        <is>
          <t>DES §16.3</t>
        </is>
      </c>
      <c r="G92" s="26" t="inlineStr">
        <is>
          <t>T-087</t>
        </is>
      </c>
      <c r="H92" s="25" t="n">
        <v>1</v>
      </c>
      <c r="I92" s="28" t="inlineStr">
        <is>
          <t>Opus 5</t>
        </is>
      </c>
      <c r="J92" s="28" t="inlineStr">
        <is>
          <t>Complete</t>
        </is>
      </c>
      <c r="K92" s="30" t="n">
        <v>1</v>
      </c>
      <c r="L92" s="31" t="n">
        <v>46285</v>
      </c>
      <c r="M92" s="31" t="n">
        <v>46285</v>
      </c>
      <c r="N92" s="28" t="n">
        <v>0.7</v>
      </c>
      <c r="O92" s="32" t="inlineStr">
        <is>
          <t>database/900_bootstrap_first_admin.sql. Run once, by hand, never in a pipeline; refuses on a populated database. Four script-raised numbers rather than module-raised ones -- E-50080, E-50085, E-50086, E-50087 -- which is why they fall outside the _tests/080 harvest and are proved by the install itself rather than by a probe. The password verifier is supplied from OUTSIDE: Install-TemplateDatabase.ps1 passes it through a process ENVIRONMENT variable, not -v, because a PHC string contains characters -v cannot carry, and the variable is removed afterwards (UI-41, UI-42). The root tenant is now asserted rather than created (BL-051); the root AUTHENTICATION POLICY stayed here because this file needs it -- and it writes RequireMfaForLocal = 0, which is G-37 and blocks production go-live.</t>
        </is>
      </c>
    </row>
    <row r="93" ht="23.25" customHeight="1" s="23">
      <c r="A93" s="25" t="inlineStr">
        <is>
          <t>T-093</t>
        </is>
      </c>
      <c r="B93" s="26" t="inlineStr">
        <is>
          <t>6 Administration</t>
        </is>
      </c>
      <c r="C93" s="27" t="inlineStr">
        <is>
          <t>(test)</t>
        </is>
      </c>
      <c r="D93" s="27" t="inlineStr">
        <is>
          <t>Build all three variants of DES §17 end to end through the procedures only, starting from bootstrap</t>
        </is>
      </c>
      <c r="E93" s="25" t="inlineStr">
        <is>
          <t>Test</t>
        </is>
      </c>
      <c r="F93" s="27" t="inlineStr">
        <is>
          <t>DES §17</t>
        </is>
      </c>
      <c r="G93" s="26" t="inlineStr">
        <is>
          <t>T-090</t>
        </is>
      </c>
      <c r="H93" s="25" t="n">
        <v>2</v>
      </c>
      <c r="I93" s="28" t="inlineStr">
        <is>
          <t>Opus 5</t>
        </is>
      </c>
      <c r="J93" s="28" t="inlineStr">
        <is>
          <t>Complete</t>
        </is>
      </c>
      <c r="K93" s="30" t="n">
        <v>1</v>
      </c>
      <c r="L93" s="31" t="n">
        <v>46285</v>
      </c>
      <c r="M93" s="31" t="n">
        <v>46285</v>
      </c>
      <c r="N93" s="28" t="n">
        <v>1.2</v>
      </c>
      <c r="O93" s="32" t="inlineStr">
        <is>
          <t>database/_tests/070_variants_end_to_end.sql. All three DES section 17 variants built end to end THROUGH THE PROCEDURES rather than by insert, which is the only way this task means anything: a fixture written by db_owner proves the tables accept rows, and a fixture written by the procedures proves the rules do. The run signs in, sets context, creates tenants, users and profiles, defines and assigns roles, registers and approves an organization, and switches profiles. The first forty lines of the file state the two-connections-per-sign-in rule, because every connection in it depends on that (G-36). Section 17.3 spells the external branch EXT_ORGS where everything working spells it EXTORG, and the fixture could accept a registration and never approve one until that was found -- G-34, and the document is wrong, not the code.</t>
        </is>
      </c>
    </row>
    <row r="94" ht="23.25" customHeight="1" s="23">
      <c r="A94" s="25" t="inlineStr">
        <is>
          <t>T-094</t>
        </is>
      </c>
      <c r="B94" s="26" t="inlineStr">
        <is>
          <t>6 Administration</t>
        </is>
      </c>
      <c r="C94" s="27" t="inlineStr">
        <is>
          <t>(test)</t>
        </is>
      </c>
      <c r="D94" s="27" t="inlineStr">
        <is>
          <t>Every error number in DES Appendix B reachable by a test</t>
        </is>
      </c>
      <c r="E94" s="25" t="inlineStr">
        <is>
          <t>Test</t>
        </is>
      </c>
      <c r="F94" s="27" t="inlineStr">
        <is>
          <t>DES App. B</t>
        </is>
      </c>
      <c r="G94" s="26" t="inlineStr">
        <is>
          <t>T-091</t>
        </is>
      </c>
      <c r="H94" s="25" t="n">
        <v>1</v>
      </c>
      <c r="I94" s="28" t="inlineStr">
        <is>
          <t>Opus 5</t>
        </is>
      </c>
      <c r="J94" s="28" t="inlineStr">
        <is>
          <t>Complete</t>
        </is>
      </c>
      <c r="K94" s="30" t="n">
        <v>1</v>
      </c>
      <c r="L94" s="31" t="n">
        <v>46285</v>
      </c>
      <c r="M94" s="31" t="n">
        <v>46285</v>
      </c>
      <c r="N94" s="28" t="n">
        <v>1.6</v>
      </c>
      <c r="O94" s="32" t="inlineStr">
        <is>
          <t>database/_tests/080_error_catalogue.sql: 91 probes across SEVEN connections (a sign-in spends one, so probing as two users plus three db_owner phases needs seven), raising 88 registered numbers on purpose. Section 14 MEASURES the registry against the database rather than asserting it: 111 numbers a shipped module can throw, harvested out of sys.sql_modules with a 2022-safe STRING_SPLIT over ';THROW '; 106 ever observed in logs.ExecutionLog; 88 raised by this file; 6 throwable but unobservable WITH A WRITTEN REASON CARRIED AS DATA; none unaccounted for. THE FIRST THING THE REPORT DID WAS EXPOSE THAT FOUR OF THE NUMBERS IT CREDITED THE SUITE WITH WERE RESIDUE from throwaway smoke scripts whose logs.ExecutionLog rows were still there -- on a fresh install it would have failed. Section 9b was added to raise all four for real, and only then were the smoke scripts deleted. A coverage ledger measures the SUITE (BL-060). Three measured facts fell out: the tenancy procedures demand before validating (D-11) so three probes had to be routed through an inactive tenant the actor administers; DATA_STEWARD is the only carrier of Data.Restore; and a composite FK is checked before any AFTER trigger fires, so the E-50011 probe caught Msg 547 until it was pointed at a row whose composite keys are all NULL.</t>
        </is>
      </c>
    </row>
    <row r="95" ht="15" customHeight="1" s="23">
      <c r="A95" s="25" t="inlineStr">
        <is>
          <t>T-095</t>
        </is>
      </c>
      <c r="B95" s="26" t="inlineStr">
        <is>
          <t>6 Administration</t>
        </is>
      </c>
      <c r="C95" s="27" t="inlineStr">
        <is>
          <t>(handoff)</t>
        </is>
      </c>
      <c r="D95" s="27" t="inlineStr">
        <is>
          <t>Assemble the M4 handoff package for the UI project</t>
        </is>
      </c>
      <c r="E95" s="25" t="inlineStr">
        <is>
          <t>Documentation</t>
        </is>
      </c>
      <c r="F95" s="27" t="inlineStr">
        <is>
          <t>PLAN §8</t>
        </is>
      </c>
      <c r="G95" s="26" t="inlineStr">
        <is>
          <t>T-092</t>
        </is>
      </c>
      <c r="H95" s="25" t="n">
        <v>0.5</v>
      </c>
      <c r="I95" s="28" t="inlineStr">
        <is>
          <t>Opus 5</t>
        </is>
      </c>
      <c r="J95" s="28" t="inlineStr">
        <is>
          <t>Complete</t>
        </is>
      </c>
      <c r="K95" s="30" t="n">
        <v>1</v>
      </c>
      <c r="L95" s="31" t="n">
        <v>46285</v>
      </c>
      <c r="M95" s="31" t="n">
        <v>46285</v>
      </c>
      <c r="N95" s="28" t="n">
        <v>1</v>
      </c>
      <c r="O95" s="32" t="inlineStr">
        <is>
          <t>docs/40-ui-handoff-m4.md (UIH-AUTH-001 v1.0), frozen at M4, 2026-09-20 -- ONE document rather than a pointer to the six PLAN section 8 deliverables. Contains the three contract procedures with full result-set column lists, the sign-in wire sequence as a diagram, the connection contract as five rules, the error registry RE-GROUPED BY WHAT THE UI SHOULD DO rather than by number, the seven gotchas that are requirements, and an explicit section 8 of what is NOT delivered. Writing that last section was the most productive gap-finding exercise in the project, because a handoff cannot be vague where a design document can: G-41, G-42 and G-43 came straight out of it, and G-42 is the serious one -- no shipped procedure writes auth.UserCredential and INV-11 forbids the application doing it directly, so as it stands nobody can legitimately set a password after the bootstrap. Three claims I wrote from memory were WRONG and were caught by checking the source before shipping: the applicationRole grant shape, a cited gotcha number, and a cited gap number. M4 reached. BL-062.</t>
        </is>
      </c>
    </row>
    <row r="96" ht="15" customHeight="1" s="23">
      <c r="A96" s="25" t="inlineStr">
        <is>
          <t>T-096</t>
        </is>
      </c>
      <c r="B96" s="26" t="inlineStr">
        <is>
          <t>7 Demo domain</t>
        </is>
      </c>
      <c r="C96" s="27" t="inlineStr">
        <is>
          <t>090_dbo_application.sql</t>
        </is>
      </c>
      <c r="D96" s="27" t="inlineStr">
        <is>
          <t>Add trg_au_updt_CaseFile and trg_au_updt_CaseNote — the tables currently have none</t>
        </is>
      </c>
      <c r="E96" s="25" t="inlineStr">
        <is>
          <t>Trigger</t>
        </is>
      </c>
      <c r="F96" s="27" t="inlineStr">
        <is>
          <t>PLAN §7 F-01</t>
        </is>
      </c>
      <c r="G96" s="26" t="inlineStr">
        <is>
          <t>T-063</t>
        </is>
      </c>
      <c r="H96" s="25" t="n">
        <v>0.75</v>
      </c>
      <c r="I96" s="28" t="inlineStr">
        <is>
          <t>Opus 5</t>
        </is>
      </c>
      <c r="J96" s="28" t="inlineStr">
        <is>
          <t>Complete</t>
        </is>
      </c>
      <c r="K96" s="30" t="n">
        <v>1</v>
      </c>
      <c r="L96" s="31" t="n">
        <v>46285</v>
      </c>
      <c r="M96" s="31" t="n">
        <v>46285</v>
      </c>
      <c r="N96" s="28" t="n">
        <v>0.4</v>
      </c>
      <c r="O96" s="32" t="inlineStr">
        <is>
          <t>database/090_dbo_application.sql: trg_au_updt_CaseFile and trg_au_updt_CaseNote. The supplied template had neither, so an UPDATE left auditModifiedBy and auditModifiedDateUtc at their insert-time values -- the columns existed and lied. Named to the conventions, AFTER UPDATE, set-based over `inserted` and not row-by-row, and guarded so a trigger-driven update cannot recurse. F-01 of PLAN section 7 closed.</t>
        </is>
      </c>
    </row>
    <row r="97" ht="23.25" customHeight="1" s="23">
      <c r="A97" s="25" t="inlineStr">
        <is>
          <t>T-097</t>
        </is>
      </c>
      <c r="B97" s="26" t="inlineStr">
        <is>
          <t>7 Demo domain</t>
        </is>
      </c>
      <c r="C97" s="27" t="inlineStr">
        <is>
          <t>090_dbo_application.sql</t>
        </is>
      </c>
      <c r="D97" s="27" t="inlineStr">
        <is>
          <t>Audit attribution from SESSION_CONTEXT('AppUser') on insert as well as update</t>
        </is>
      </c>
      <c r="E97" s="25" t="inlineStr">
        <is>
          <t>Trigger</t>
        </is>
      </c>
      <c r="F97" s="27" t="inlineStr">
        <is>
          <t>DES §14.4, F-02</t>
        </is>
      </c>
      <c r="G97" s="26" t="inlineStr">
        <is>
          <t>T-094</t>
        </is>
      </c>
      <c r="H97" s="25" t="n">
        <v>0.5</v>
      </c>
      <c r="I97" s="28" t="inlineStr">
        <is>
          <t>Opus 5</t>
        </is>
      </c>
      <c r="J97" s="28" t="inlineStr">
        <is>
          <t>Complete</t>
        </is>
      </c>
      <c r="K97" s="30" t="n">
        <v>1</v>
      </c>
      <c r="L97" s="31" t="n">
        <v>46285</v>
      </c>
      <c r="M97" s="31" t="n">
        <v>46285</v>
      </c>
      <c r="N97" s="28" t="n">
        <v>0.4</v>
      </c>
      <c r="O97" s="32" t="inlineStr">
        <is>
          <t>database/090_dbo_application.sql. Audit attribution from SESSION_CONTEXT('AppUser') on INSERT as well as on update, per section 14.4: auditCreatedBy DEFAULTs to COALESCE (NULLIF (CAST (SESSION_CONTEXT (N'AppUser') AS NVARCHAR (255)), N''), ORIGINAL_LOGIN ()), so the acting PERSON is recorded and the pooled login is only the fallback. F-02 closed. In doing this I found that every auth table defaults auditCreatedBy to ORIGINAL_LOGIN () alone -- so the schema holding the authorization state has the WEAKER attribution of the two, and records the pooled login for every row. That is G-41, found by writing the strong version next to it.</t>
        </is>
      </c>
    </row>
    <row r="98" ht="23.25" customHeight="1" s="23">
      <c r="A98" s="25" t="inlineStr">
        <is>
          <t>T-098</t>
        </is>
      </c>
      <c r="B98" s="26" t="inlineStr">
        <is>
          <t>7 Demo domain</t>
        </is>
      </c>
      <c r="C98" s="27" t="inlineStr">
        <is>
          <t>090_dbo_application.sql</t>
        </is>
      </c>
      <c r="D98" s="27" t="inlineStr">
        <is>
          <t>TenantId immutability, raising E-50011</t>
        </is>
      </c>
      <c r="E98" s="25" t="inlineStr">
        <is>
          <t>Trigger</t>
        </is>
      </c>
      <c r="F98" s="27" t="inlineStr">
        <is>
          <t>DES §10.3, INV-12</t>
        </is>
      </c>
      <c r="G98" s="26" t="inlineStr">
        <is>
          <t>T-094</t>
        </is>
      </c>
      <c r="H98" s="25" t="n">
        <v>0.5</v>
      </c>
      <c r="I98" s="28" t="inlineStr">
        <is>
          <t>Opus 5</t>
        </is>
      </c>
      <c r="J98" s="28" t="inlineStr">
        <is>
          <t>Complete</t>
        </is>
      </c>
      <c r="K98" s="30" t="n">
        <v>1</v>
      </c>
      <c r="L98" s="31" t="n">
        <v>46285</v>
      </c>
      <c r="M98" s="31" t="n">
        <v>46285</v>
      </c>
      <c r="N98" s="28" t="n">
        <v>0.5</v>
      </c>
      <c r="O98" s="32" t="inlineStr">
        <is>
          <t>database/090_dbo_application.sql: TenantId immutability raising E-50011, per INV-12. Enforced by an AFTER UPDATE trigger comparing `inserted` to `deleted`, alongside the BLOCK AFTER UPDATE predicate from 120 -- two mechanisms, and the trigger exists to give the caller a NUMBER and a sentence instead of a bare 33504. The measured subtlety, now in Appendix B: a declarative constraint on the same column WINS THE RACE. Where a composite foreign key already pairs TenantId with another column -- FK_dbo_CaseFile_AssignedToProfile, FK_dbo_CaseFile_ApprovedBy_Tenant -- the engine checks the key before any AFTER trigger fires and the caller sees Msg 547, so E-50011 is reachable only on a row whose composite keys are all NULL, which is what _tests/080 probes it with.</t>
        </is>
      </c>
    </row>
    <row r="99" ht="15" customHeight="1" s="23">
      <c r="A99" s="25" t="inlineStr">
        <is>
          <t>T-099</t>
        </is>
      </c>
      <c r="B99" s="26" t="inlineStr">
        <is>
          <t>7 Demo domain</t>
        </is>
      </c>
      <c r="C99" s="27" t="inlineStr">
        <is>
          <t>090_dbo_application.sql</t>
        </is>
      </c>
      <c r="D99" s="27" t="inlineStr">
        <is>
          <t>Register both tables in config.TenantScopedTable and apply the policy</t>
        </is>
      </c>
      <c r="E99" s="25" t="inlineStr">
        <is>
          <t>Script</t>
        </is>
      </c>
      <c r="F99" s="27" t="inlineStr">
        <is>
          <t>DES §10.1</t>
        </is>
      </c>
      <c r="G99" s="26" t="inlineStr">
        <is>
          <t>T-063</t>
        </is>
      </c>
      <c r="H99" s="25" t="n">
        <v>0.25</v>
      </c>
      <c r="I99" s="28" t="inlineStr">
        <is>
          <t>Opus 5</t>
        </is>
      </c>
      <c r="J99" s="28" t="inlineStr">
        <is>
          <t>Complete</t>
        </is>
      </c>
      <c r="K99" s="30" t="n">
        <v>1</v>
      </c>
      <c r="L99" s="31" t="n">
        <v>46285</v>
      </c>
      <c r="M99" s="31" t="n">
        <v>46285</v>
      </c>
      <c r="N99" s="28" t="n">
        <v>0.3</v>
      </c>
      <c r="O99" s="32" t="inlineStr">
        <is>
          <t>database/090_dbo_application.sql: both tables registered in config.TenantScopedTable and the policy applied by calling auth.uspRebuildTenantAccessPolicy. Registry-driven, per section 10.1 -- no table in this database is protected because somebody remembered to protect it, and the 120 closing report prints how many registry rows were bound and how many skipped on every deployment. These two rows are the ONLY live rows in the registry, which is worth knowing when reading the RLS tests: the protection is narrow on purpose, because a demonstration that protects everything demonstrates nothing about the registry.</t>
        </is>
      </c>
    </row>
    <row r="100" ht="15" customHeight="1" s="23">
      <c r="A100" s="25" t="inlineStr">
        <is>
          <t>T-100</t>
        </is>
      </c>
      <c r="B100" s="26" t="inlineStr">
        <is>
          <t>7 Demo domain</t>
        </is>
      </c>
      <c r="C100" s="27" t="inlineStr">
        <is>
          <t>090_dbo_application.sql</t>
        </is>
      </c>
      <c r="D100" s="27" t="inlineStr">
        <is>
          <t>Rewrite the file header and section comments to describe the model the tables now sit in</t>
        </is>
      </c>
      <c r="E100" s="25" t="inlineStr">
        <is>
          <t>Documentation</t>
        </is>
      </c>
      <c r="F100" s="27" t="inlineStr">
        <is>
          <t>PLAN §7 F-03</t>
        </is>
      </c>
      <c r="G100" s="26" t="inlineStr">
        <is>
          <t>T-096</t>
        </is>
      </c>
      <c r="H100" s="25" t="n">
        <v>0.5</v>
      </c>
      <c r="I100" s="28" t="inlineStr">
        <is>
          <t>Opus 5</t>
        </is>
      </c>
      <c r="J100" s="28" t="inlineStr">
        <is>
          <t>Complete</t>
        </is>
      </c>
      <c r="K100" s="30" t="n">
        <v>1</v>
      </c>
      <c r="L100" s="31" t="n">
        <v>46285</v>
      </c>
      <c r="M100" s="31" t="n">
        <v>46285</v>
      </c>
      <c r="N100" s="28" t="n">
        <v>0.4</v>
      </c>
      <c r="O100" s="32" t="inlineStr">
        <is>
          <t>database/090_dbo_application.sql header and section comments rewritten to describe the model the file now implements rather than the one it was supplied with -- F-03 of PLAN section 7. The file arrived as a plain two-table demo and is now the worked example a developer copies: what TenantId means here, why there is no DELETE anywhere (soft delete is an UPDATE, which is also why applicationRole holds UPDATE on SCHEMA::dbo and not DELETE), which triggers exist and why, and which composite foreign keys are load-bearing for INV-12. A demo domain whose comments describe a different design is worse than no demo domain.</t>
        </is>
      </c>
    </row>
    <row r="101" ht="23.25" customHeight="1" s="23">
      <c r="A101" s="25" t="inlineStr">
        <is>
          <t>T-101</t>
        </is>
      </c>
      <c r="B101" s="26" t="inlineStr">
        <is>
          <t>7 Demo domain</t>
        </is>
      </c>
      <c r="C101" s="27" t="inlineStr">
        <is>
          <t>135_audit_triggers.sql</t>
        </is>
      </c>
      <c r="D101" s="27" t="inlineStr">
        <is>
          <t>AFTER UPDATE audit triggers for every auth, logs and config table</t>
        </is>
      </c>
      <c r="E101" s="25" t="inlineStr">
        <is>
          <t>Trigger</t>
        </is>
      </c>
      <c r="F101" s="27" t="inlineStr">
        <is>
          <t>Conventions naming</t>
        </is>
      </c>
      <c r="G101" s="26" t="inlineStr">
        <is>
          <t>T-094</t>
        </is>
      </c>
      <c r="H101" s="25" t="n">
        <v>1.5</v>
      </c>
      <c r="I101" s="28" t="inlineStr">
        <is>
          <t>Opus 5</t>
        </is>
      </c>
      <c r="J101" s="28" t="inlineStr">
        <is>
          <t>Complete</t>
        </is>
      </c>
      <c r="K101" s="30" t="n">
        <v>1</v>
      </c>
      <c r="L101" s="31" t="n">
        <v>46285</v>
      </c>
      <c r="M101" s="31" t="n">
        <v>46285</v>
      </c>
      <c r="N101" s="28" t="n">
        <v>0.6</v>
      </c>
      <c r="O101" s="32" t="inlineStr">
        <is>
          <t>database/135_audit_triggers.sql: trg_au_updt_ AFTER UPDATE triggers on every plain table across auth, config, dbo, logs and util -- 35 tables as deployed, 34 of which must carry a trigger and do, the single exemption being logs.ExecutionLog. Without one, an UPDATE leaves auditModifiedBy and auditModifiedDateUtc at their insert-time values. The file is generated from the catalog rather than hand-listed, so a table added later gets a trigger by being a table and not by being remembered. Two SCRIPT-raised numbers live here, outside the _tests/080 module harvest and proved by the install: E-50210 asks DOES A TRIGGER EXIST for every table that needs one, and E-50211 asks DOES IT DO THE JOB -- triggers present but not stamping the full audit block. The second was added because the first can pass on a trigger that does nothing. E-50211 is newly registered in Appendix B.</t>
        </is>
      </c>
    </row>
    <row r="102" ht="15" customHeight="1" s="23">
      <c r="A102" s="25" t="inlineStr">
        <is>
          <t>T-102</t>
        </is>
      </c>
      <c r="B102" s="26" t="inlineStr">
        <is>
          <t>7 Demo domain</t>
        </is>
      </c>
      <c r="C102" s="27" t="inlineStr">
        <is>
          <t>180_dbo_application_procedures.sql</t>
        </is>
      </c>
      <c r="D102" s="27" t="inlineStr">
        <is>
          <t>Demo domain CRUD procedures as the reference implementation of the DES §14 calling contract</t>
        </is>
      </c>
      <c r="E102" s="25" t="inlineStr">
        <is>
          <t>Procedure</t>
        </is>
      </c>
      <c r="F102" s="27" t="inlineStr">
        <is>
          <t>DES §14</t>
        </is>
      </c>
      <c r="G102" s="26" t="inlineStr">
        <is>
          <t>T-098</t>
        </is>
      </c>
      <c r="H102" s="25" t="n">
        <v>2</v>
      </c>
      <c r="I102" s="28" t="inlineStr">
        <is>
          <t>Opus 5</t>
        </is>
      </c>
      <c r="J102" s="28" t="inlineStr">
        <is>
          <t>Complete</t>
        </is>
      </c>
      <c r="K102" s="30" t="n">
        <v>1</v>
      </c>
      <c r="L102" s="31" t="n">
        <v>46285</v>
      </c>
      <c r="M102" s="31" t="n">
        <v>46285</v>
      </c>
      <c r="N102" s="28" t="n">
        <v>1.1</v>
      </c>
      <c r="O102" s="32" t="inlineStr">
        <is>
          <t>database/180_dbo_application_procedures.sql: the demo domain CRUD procedures, as the reference implementation of the section 14 calling contract -- @SessionTokenHash first, context set, permission demanded, rule 8 TRY/CATCH, instrumentation inside the transaction. It installs at manifest step 35, BEFORE 120_rls_policy.sql, which looks backwards and is right: deferred name resolution lets a procedure compile without its policy, but a bound policy freezes the shape of dbo.CaseFile and the schema-bound predicates (error 3729). The cost is a documented one-step window where these procedures enforce authorization without row security (BL-058). Raises E-50010 on an attempt to change an immutable approval, E-50011 on a TenantId change, E-50207 on a @Status outside the six the check constraint allows, and E-50202 to E-50206 across the surface. E-50203 covers two sites in one rule and forced a consequence into the open: APPROVAL IS NOT DELEGABLE ACROSS TENANTS, because FK_dbo_CaseFile_ApprovedBy_Tenant is on the composite pair -- an administrator with Data.Approve over a subtree must still switch to a profile at the row's own tenant. That is G-40, and G-36 is the second half of the bill.</t>
        </is>
      </c>
    </row>
    <row r="103" ht="23.25" customHeight="1" s="23">
      <c r="A103" s="25" t="inlineStr">
        <is>
          <t>T-103</t>
        </is>
      </c>
      <c r="B103" s="26" t="inlineStr">
        <is>
          <t>8 Verification</t>
        </is>
      </c>
      <c r="C103" s="27" t="inlineStr">
        <is>
          <t>170_permissions.sql</t>
        </is>
      </c>
      <c r="D103" s="27" t="inlineStr">
        <is>
          <t>Object-level EXECUTE grants per procedure; assert applicationRole holds no table permission on SCHEMA::auth</t>
        </is>
      </c>
      <c r="E103" s="25" t="inlineStr">
        <is>
          <t>Script</t>
        </is>
      </c>
      <c r="F103" s="27" t="inlineStr">
        <is>
          <t>DES §19.3, INV-11</t>
        </is>
      </c>
      <c r="G103" s="26" t="inlineStr">
        <is>
          <t>T-099</t>
        </is>
      </c>
      <c r="H103" s="25" t="n">
        <v>1</v>
      </c>
      <c r="I103" s="28" t="inlineStr">
        <is>
          <t>Opus 5</t>
        </is>
      </c>
      <c r="J103" s="28" t="inlineStr">
        <is>
          <t>Not started</t>
        </is>
      </c>
      <c r="K103" s="30" t="n">
        <v>0</v>
      </c>
      <c r="L103" s="31" t="n"/>
      <c r="M103" s="31" t="n"/>
      <c r="N103" s="28" t="n"/>
      <c r="O103" s="32" t="n"/>
    </row>
    <row r="104" ht="23.25" customHeight="1" s="23">
      <c r="A104" s="25" t="inlineStr">
        <is>
          <t>T-104</t>
        </is>
      </c>
      <c r="B104" s="26" t="inlineStr">
        <is>
          <t>8 Verification</t>
        </is>
      </c>
      <c r="C104" s="27" t="inlineStr">
        <is>
          <t>950_verify_deployment.sql</t>
        </is>
      </c>
      <c r="D104" s="27" t="inlineStr">
        <is>
          <t>Write every assertion listed in DES §21.4; exit non-zero on failure</t>
        </is>
      </c>
      <c r="E104" s="25" t="inlineStr">
        <is>
          <t>Script</t>
        </is>
      </c>
      <c r="F104" s="27" t="inlineStr">
        <is>
          <t>DES §21.4</t>
        </is>
      </c>
      <c r="G104" s="26" t="inlineStr">
        <is>
          <t>T-100</t>
        </is>
      </c>
      <c r="H104" s="25" t="n">
        <v>2</v>
      </c>
      <c r="I104" s="28" t="inlineStr">
        <is>
          <t>Opus 5</t>
        </is>
      </c>
      <c r="J104" s="28" t="inlineStr">
        <is>
          <t>Not started</t>
        </is>
      </c>
      <c r="K104" s="30" t="n">
        <v>0</v>
      </c>
      <c r="L104" s="31" t="n"/>
      <c r="M104" s="31" t="n"/>
      <c r="N104" s="28" t="n"/>
      <c r="O104" s="32" t="n"/>
    </row>
    <row r="105" ht="15" customHeight="1" s="23">
      <c r="A105" s="25" t="inlineStr">
        <is>
          <t>T-105</t>
        </is>
      </c>
      <c r="B105" s="26" t="inlineStr">
        <is>
          <t>8 Verification</t>
        </is>
      </c>
      <c r="C105" s="27" t="inlineStr">
        <is>
          <t>(deployment)</t>
        </is>
      </c>
      <c r="D105" s="27" t="inlineStr">
        <is>
          <t>Two consecutive clean deployments onto an empty database, second reporting no change</t>
        </is>
      </c>
      <c r="E105" s="25" t="inlineStr">
        <is>
          <t>Test</t>
        </is>
      </c>
      <c r="F105" s="27" t="inlineStr">
        <is>
          <t>PLAN §4 Phase 8</t>
        </is>
      </c>
      <c r="G105" s="26" t="inlineStr">
        <is>
          <t>T-101</t>
        </is>
      </c>
      <c r="H105" s="25" t="n">
        <v>1</v>
      </c>
      <c r="I105" s="28" t="inlineStr">
        <is>
          <t>Opus 5</t>
        </is>
      </c>
      <c r="J105" s="28" t="inlineStr">
        <is>
          <t>Not started</t>
        </is>
      </c>
      <c r="K105" s="30" t="n">
        <v>0</v>
      </c>
      <c r="L105" s="31" t="n"/>
      <c r="M105" s="31" t="n"/>
      <c r="N105" s="28" t="n"/>
      <c r="O105" s="32" t="n"/>
    </row>
    <row r="106" ht="23.25" customHeight="1" s="23">
      <c r="A106" s="25" t="inlineStr">
        <is>
          <t>T-106</t>
        </is>
      </c>
      <c r="B106" s="26" t="inlineStr">
        <is>
          <t>8 Verification</t>
        </is>
      </c>
      <c r="C106" s="27" t="inlineStr">
        <is>
          <t>Build Log</t>
        </is>
      </c>
      <c r="D106" s="27" t="inlineStr">
        <is>
          <t>Fill in every divergence between plan and code, with the reason</t>
        </is>
      </c>
      <c r="E106" s="25" t="inlineStr">
        <is>
          <t>Documentation</t>
        </is>
      </c>
      <c r="F106" s="27" t="inlineStr">
        <is>
          <t>PLAN §10</t>
        </is>
      </c>
      <c r="G106" s="26" t="inlineStr">
        <is>
          <t>T-102</t>
        </is>
      </c>
      <c r="H106" s="25" t="n">
        <v>0.75</v>
      </c>
      <c r="I106" s="28" t="inlineStr">
        <is>
          <t>Opus 5</t>
        </is>
      </c>
      <c r="J106" s="28" t="inlineStr">
        <is>
          <t>Not started</t>
        </is>
      </c>
      <c r="K106" s="30" t="n">
        <v>0</v>
      </c>
      <c r="L106" s="31" t="n"/>
      <c r="M106" s="31" t="n"/>
      <c r="N106" s="28" t="n"/>
      <c r="O106" s="32" t="n"/>
    </row>
    <row r="107" ht="15" customHeight="1" s="23">
      <c r="A107" s="25" t="inlineStr">
        <is>
          <t>T-107</t>
        </is>
      </c>
      <c r="B107" s="26" t="inlineStr">
        <is>
          <t>8 Verification</t>
        </is>
      </c>
      <c r="C107" s="27" t="inlineStr">
        <is>
          <t>gaps.xlsx</t>
        </is>
      </c>
      <c r="D107" s="27" t="inlineStr">
        <is>
          <t>Close out: which gaps closed, which remain, which were added during build</t>
        </is>
      </c>
      <c r="E107" s="25" t="inlineStr">
        <is>
          <t>Documentation</t>
        </is>
      </c>
      <c r="F107" s="27" t="inlineStr">
        <is>
          <t>PLAN §10</t>
        </is>
      </c>
      <c r="G107" s="26" t="inlineStr">
        <is>
          <t>T-102</t>
        </is>
      </c>
      <c r="H107" s="25" t="n">
        <v>0.5</v>
      </c>
      <c r="I107" s="28" t="inlineStr">
        <is>
          <t>Opus 5</t>
        </is>
      </c>
      <c r="J107" s="28" t="inlineStr">
        <is>
          <t>Not started</t>
        </is>
      </c>
      <c r="K107" s="30" t="n">
        <v>0</v>
      </c>
      <c r="L107" s="31" t="n"/>
      <c r="M107" s="31" t="n"/>
      <c r="N107" s="28" t="n"/>
      <c r="O107" s="32" t="n"/>
    </row>
    <row r="108" ht="15" customHeight="1" s="23">
      <c r="A108" s="25" t="inlineStr">
        <is>
          <t>T-108</t>
        </is>
      </c>
      <c r="B108" s="26" t="inlineStr">
        <is>
          <t>8 Verification</t>
        </is>
      </c>
      <c r="C108" s="27" t="inlineStr">
        <is>
          <t>build-and-traceability.xlsx</t>
        </is>
      </c>
      <c r="D108" s="27" t="inlineStr">
        <is>
          <t>Reconcile Traceability — every design section resolves to an artefact</t>
        </is>
      </c>
      <c r="E108" s="25" t="inlineStr">
        <is>
          <t>Documentation</t>
        </is>
      </c>
      <c r="F108" s="27" t="inlineStr">
        <is>
          <t>PLAN §10</t>
        </is>
      </c>
      <c r="G108" s="26" t="inlineStr">
        <is>
          <t>T-102</t>
        </is>
      </c>
      <c r="H108" s="25" t="n">
        <v>0.75</v>
      </c>
      <c r="I108" s="28" t="inlineStr">
        <is>
          <t>Opus 5</t>
        </is>
      </c>
      <c r="J108" s="28" t="inlineStr">
        <is>
          <t>Not started</t>
        </is>
      </c>
      <c r="K108" s="30" t="n">
        <v>0</v>
      </c>
      <c r="L108" s="31" t="n"/>
      <c r="M108" s="31" t="n"/>
      <c r="N108" s="28" t="n"/>
      <c r="O108" s="32" t="n"/>
    </row>
    <row r="109" ht="15" customHeight="1" s="23">
      <c r="A109" s="25" t="inlineStr">
        <is>
          <t>T-109</t>
        </is>
      </c>
      <c r="B109" s="26" t="inlineStr">
        <is>
          <t>8 Verification</t>
        </is>
      </c>
      <c r="C109" s="27" t="inlineStr">
        <is>
          <t>00-documentation-index.md</t>
        </is>
      </c>
      <c r="D109" s="27" t="inlineStr">
        <is>
          <t>Final pass on the documentation index</t>
        </is>
      </c>
      <c r="E109" s="25" t="inlineStr">
        <is>
          <t>Documentation</t>
        </is>
      </c>
      <c r="F109" s="27" t="inlineStr">
        <is>
          <t>Deliverable 7</t>
        </is>
      </c>
      <c r="G109" s="26" t="inlineStr">
        <is>
          <t>T-104</t>
        </is>
      </c>
      <c r="H109" s="25" t="n">
        <v>0.25</v>
      </c>
      <c r="I109" s="28" t="inlineStr">
        <is>
          <t>Opus 5</t>
        </is>
      </c>
      <c r="J109" s="28" t="inlineStr">
        <is>
          <t>Not started</t>
        </is>
      </c>
      <c r="K109" s="30" t="n">
        <v>0</v>
      </c>
      <c r="L109" s="31" t="n"/>
      <c r="M109" s="31" t="n"/>
      <c r="N109" s="28" t="n"/>
      <c r="O109" s="32" t="n"/>
    </row>
    <row r="110" ht="15" customHeight="1" s="23">
      <c r="A110" s="25" t="inlineStr">
        <is>
          <t>T-110</t>
        </is>
      </c>
      <c r="B110" s="26" t="inlineStr">
        <is>
          <t>8 Verification</t>
        </is>
      </c>
      <c r="C110" s="27" t="inlineStr">
        <is>
          <t>(handoff)</t>
        </is>
      </c>
      <c r="D110" s="27" t="inlineStr">
        <is>
          <t>Template handoff: a reader who was not here deploys it and extends it</t>
        </is>
      </c>
      <c r="E110" s="25" t="inlineStr">
        <is>
          <t>Documentation</t>
        </is>
      </c>
      <c r="F110" s="27" t="inlineStr">
        <is>
          <t>PLAN §4 Phase 8</t>
        </is>
      </c>
      <c r="G110" s="26" t="inlineStr">
        <is>
          <t>T-105</t>
        </is>
      </c>
      <c r="H110" s="25" t="n">
        <v>0.75</v>
      </c>
      <c r="I110" s="28" t="inlineStr">
        <is>
          <t>Opus 5</t>
        </is>
      </c>
      <c r="J110" s="28" t="inlineStr">
        <is>
          <t>Not started</t>
        </is>
      </c>
      <c r="K110" s="30" t="n">
        <v>0</v>
      </c>
      <c r="L110" s="31" t="n"/>
      <c r="M110" s="31" t="n"/>
      <c r="N110" s="28" t="n"/>
      <c r="O110" s="32" t="n"/>
    </row>
    <row r="111" ht="15" customHeight="1" s="23">
      <c r="A111" s="25" t="inlineStr">
        <is>
          <t>T-111</t>
        </is>
      </c>
      <c r="B111" s="26" t="inlineStr">
        <is>
          <t>0 Foundations</t>
        </is>
      </c>
      <c r="C111" s="27" t="inlineStr">
        <is>
          <t>_tests/010_phase0_instrumentation.sql</t>
        </is>
      </c>
      <c r="D111" s="27" t="inlineStr">
        <is>
          <t>Prove the rule 8 instrumentation end to end: an instrumented procedure writes to logs.ExecutionLog on success, on a flat failure, and on a failure inside a caller's open transaction</t>
        </is>
      </c>
      <c r="E111" s="25" t="inlineStr">
        <is>
          <t>Test</t>
        </is>
      </c>
      <c r="F111" s="27" t="inlineStr">
        <is>
          <t>PLAN §4 Phase 0</t>
        </is>
      </c>
      <c r="G111" s="26" t="inlineStr">
        <is>
          <t>T-005</t>
        </is>
      </c>
      <c r="H111" s="25" t="n">
        <v>0.5</v>
      </c>
      <c r="I111" s="28" t="inlineStr">
        <is>
          <t>Opus 5</t>
        </is>
      </c>
      <c r="J111" s="28" t="inlineStr">
        <is>
          <t>Complete</t>
        </is>
      </c>
      <c r="K111" s="30" t="n">
        <v>1</v>
      </c>
      <c r="L111" s="31" t="n">
        <v>46284</v>
      </c>
      <c r="M111" s="31" t="n">
        <v>46284</v>
      </c>
      <c r="N111" s="28" t="n">
        <v>0.5</v>
      </c>
      <c r="O111" s="32" t="inlineStr">
        <is>
          <t>database/_tests/010_phase0_instrumentation.sql. Creates util.Phase0ProbeTarget and util.uspPhase0Probe to the conventions and exercises three paths. Recorded: a successful call (Successful = 1, 8 ms, "1 probe row(s) merged."), a flat failure (Successful = 0, ErrorNumber 50099, ReCreatedAfterRollback = 0), and a failure inside a caller's open transaction (Successful = 0, 50099, ReCreatedAfterRollback = 1) with a gap in the identity sequence where the rolled-back start row had been -- observable proof of the re-creation path, which no other placement exercises. Deliberately NOT in the install manifest: it creates test fixtures a cloning project should not inherit. Re-runnable -- the second run incremented ProbeCount rather than inserting again.</t>
        </is>
      </c>
    </row>
    <row r="112" s="23">
      <c r="A112" s="25" t="inlineStr">
        <is>
          <t>T-112</t>
        </is>
      </c>
      <c r="B112" s="26" t="inlineStr">
        <is>
          <t>2 Identity</t>
        </is>
      </c>
      <c r="C112" s="27" t="inlineStr">
        <is>
          <t>112_auth_mfa_procedures.sql</t>
        </is>
      </c>
      <c r="D112" s="27" t="inlineStr">
        <is>
          <t>The MFA enrolment surface: enrol, confirm, issue recovery codes, re-key -- and the bootstrap that lets an account refused for want of a factor obtain its first one</t>
        </is>
      </c>
      <c r="E112" s="25" t="inlineStr">
        <is>
          <t>Procedure</t>
        </is>
      </c>
      <c r="F112" s="27" t="inlineStr">
        <is>
          <t>DES §6.2, §6.4, G-07, T-041</t>
        </is>
      </c>
      <c r="G112" s="26" t="inlineStr">
        <is>
          <t>T-041</t>
        </is>
      </c>
      <c r="H112" s="25" t="n">
        <v>1</v>
      </c>
      <c r="I112" s="28" t="inlineStr">
        <is>
          <t>Opus 5</t>
        </is>
      </c>
      <c r="J112" s="28" t="inlineStr">
        <is>
          <t>Complete</t>
        </is>
      </c>
      <c r="K112" s="30" t="n">
        <v>1</v>
      </c>
      <c r="L112" s="31" t="n">
        <v>46285</v>
      </c>
      <c r="M112" s="31" t="n">
        <v>46285</v>
      </c>
      <c r="N112" s="28" t="n">
        <v>0.8</v>
      </c>
      <c r="O112" s="32" t="inlineStr">
        <is>
          <t>Added on 2026-09-20, after the G-07 decision made it writable. NOT in PLAN-AUTH-001: the plan had T-041 as an Environment task -- choose a key and record the convention -- and assumed enrolment fell out of it. It does not. Four procedures in database/112_auth_mfa_procedures.sql: auth.uspEnrolMfaFactor, uspConfirmMfaFactor, uspIssueMfaRecoveryCodes, uspRotateMfaFactorKey. Kept OUT of 110_auth_authn_procedures.sql deliberately: 110 answers 'can this deployment sign anybody in' and 112 answers 'can this deployment enrol anybody', and the two have different threat models. The hard part was the bootstrap paradox -- an account under a policy requiring MFA with no factor cannot sign in, so it has no session to enrol with. Solved with auth.udfResolveEnrolmentActor, which accepts ONLY a LoginAttempt the database itself refused with FailureReason 'MfaRequired' and PasswordVerified = 1, inside Authn.MfaEnrolmentWindowSeconds. That grants an identity and not a permission: E-50119 still refuses to touch an account that already holds a confirmed factor, so the window is a route to a FIRST factor only, and setting it to 0 closes the route with no code change. New error numbers 50117-50123; new event type 'MfaEnrolmentRefused' in 085_logs_auth_tables.sql. Verified by _tests/040 section 12, eleven observations, where authtest.frank enrols from his own E-50109 refusal and completes a sign-in. One defect was found BY that section and fixed: uspConfirmMfaFactor and uspRotateMfaFactorKey each tested existence by whether a SELECT had assigned an OUTPUT parameter, which a caller re-using one variable defeats -- for the rotation sweep that is the INTENDED caller. Both now clear their outputs first. BL-035.</t>
        </is>
      </c>
    </row>
    <row r="113" s="23">
      <c r="A113" s="25" t="inlineStr">
        <is>
          <t>T-113</t>
        </is>
      </c>
      <c r="B113" s="26" t="inlineStr">
        <is>
          <t>6 Administration</t>
        </is>
      </c>
      <c r="C113" s="27" t="inlineStr">
        <is>
          <t>110_auth_authn_procedures.sql; 025_config_tables.sql</t>
        </is>
      </c>
      <c r="D113" s="27" t="inlineStr">
        <is>
          <t>The credential write surface and its lifecycle: uspSetPassword, uspGetPasswordChangeContext, uspChangePassword, uspExpireCredentials, and the three settings that govern them</t>
        </is>
      </c>
      <c r="E113" s="25" t="inlineStr">
        <is>
          <t>Procedure</t>
        </is>
      </c>
      <c r="F113" s="27" t="inlineStr">
        <is>
          <t>DES §6.3, §7.1, §16.2; D-08; G-42, G-12</t>
        </is>
      </c>
      <c r="G113" s="26" t="inlineStr">
        <is>
          <t>T-034</t>
        </is>
      </c>
      <c r="H113" s="25" t="n">
        <v>1.5</v>
      </c>
      <c r="I113" s="28" t="inlineStr">
        <is>
          <t>Opus 5</t>
        </is>
      </c>
      <c r="J113" s="28" t="inlineStr">
        <is>
          <t>Complete</t>
        </is>
      </c>
      <c r="K113" s="30" t="n">
        <v>1</v>
      </c>
      <c r="L113" s="31" t="n">
        <v>46286</v>
      </c>
      <c r="M113" s="31" t="n">
        <v>46286</v>
      </c>
      <c r="N113" s="28" t="n">
        <v>1.3</v>
      </c>
      <c r="O113" s="32" t="inlineStr">
        <is>
          <t>Added 2026-09-21 to close G-42 and G-12, neither of which is in PLAN-AUTH-001: both were filed while writing the M4 handoff. FOUR PROCEDURES RATHER THAN THE TWO G-42 NAMED. The two extra are the interesting ones. uspGetPasswordChangeContext exists because D-08 has a consequence nobody had written down: if the database never receives a password it cannot COMPARE one against a stored PHC string either, because that needs the hashing parameters and a per-verifier salt -- so the reuse check had to become a read procedure plus an argument, exactly as sign-in is uspGetLoginVerifier plus a verdict. uspExpireCredentials is G-12 s sweep, folded in here because a password that cannot be set cannot usefully expire, which is the dependency the gap register recorded before the work started. Five numbers: E-50220 to E-50224. Authn.PasswordLifetimeDays ships at 0 -- no expiry -- deliberately: the mechanism is delivered and the policy is the deployment s. BL-067.</t>
        </is>
      </c>
    </row>
    <row r="114" s="23">
      <c r="A114" s="25" t="inlineStr">
        <is>
          <t>T-114</t>
        </is>
      </c>
      <c r="B114" s="26" t="inlineStr">
        <is>
          <t>6 Administration</t>
        </is>
      </c>
      <c r="C114" s="27" t="inlineStr">
        <is>
          <t>125_auth_tenant_procedures.sql; 035_auth_tenant_policy.sql</t>
        </is>
      </c>
      <c r="D114" s="27" t="inlineStr">
        <is>
          <t>uspSetTenantAuthenticationPolicy and uspSetTenantDefaultRoles, with the trusted-issuer list and the step-up default they carry</t>
        </is>
      </c>
      <c r="E114" s="25" t="inlineStr">
        <is>
          <t>Procedure</t>
        </is>
      </c>
      <c r="F114" s="27" t="inlineStr">
        <is>
          <t>DES §7.2, §7.3, §8.5, §11.5, §12.3; INV-04; G-43, G-21, G-30</t>
        </is>
      </c>
      <c r="G114" s="26" t="inlineStr">
        <is>
          <t>T-018</t>
        </is>
      </c>
      <c r="H114" s="25" t="n">
        <v>2</v>
      </c>
      <c r="I114" s="28" t="inlineStr">
        <is>
          <t>Opus 5</t>
        </is>
      </c>
      <c r="J114" s="28" t="inlineStr">
        <is>
          <t>Complete</t>
        </is>
      </c>
      <c r="K114" s="30" t="n">
        <v>1</v>
      </c>
      <c r="L114" s="31" t="n">
        <v>46286</v>
      </c>
      <c r="M114" s="31" t="n">
        <v>46286</v>
      </c>
      <c r="N114" s="28" t="n">
        <v>1.8</v>
      </c>
      <c r="O114" s="32" t="inlineStr">
        <is>
          <t>Added 2026-09-21. THREE GAPS IN ONE TASK, AND NOT BY CONVENIENCE: G-30 needed a policy WRITER to seed a default into, and G-21 needed one to write a trusted-issuer list with, so G-43 had to go first and the other two fell out of it. auth.TenantTrustedIssuer went into 035 rather than 045 because it is policy and not identity. TWO DEPARTURES FROM G-43, both in BL-068: the permission is Tenant.Update (there is no Tenant.Manage in Appendix A, and Config.Manage would have made a per-tenant screen a platform-administrator screen), with Authz.RoleAssign added to the default-roles writer because a default-role list is a standing grant rather than a label; and the validation is MERGE THEN VALIDATE THE ROW rather than validate the arguments, which is the only shape that survives every argument being optional. E-50097, E-50098, E-50124 and E-50180, all raised ahead of BEGIN TRANSACTION so a test can probe them against a real tenant and leave no row behind. Filed G-44 on the way out: nothing DELETES a policy row.</t>
        </is>
      </c>
    </row>
    <row r="115" s="23">
      <c r="A115" s="25" t="inlineStr">
        <is>
          <t>T-115</t>
        </is>
      </c>
      <c r="B115" s="26" t="inlineStr">
        <is>
          <t>6 Administration</t>
        </is>
      </c>
      <c r="C115" s="27" t="inlineStr">
        <is>
          <t>155_auth_registration_procedures.sql; 080_auth_registration.sql; 025_config_tables.sql</t>
        </is>
      </c>
      <c r="D115" s="27" t="inlineStr">
        <is>
          <t>auth.RegistrationAttempt and uspRecordRegistrationAttempt -- the per-address registration throttle, and the decision G-24 demanded be taken either way</t>
        </is>
      </c>
      <c r="E115" s="25" t="inlineStr">
        <is>
          <t>Procedure</t>
        </is>
      </c>
      <c r="F115" s="27" t="inlineStr">
        <is>
          <t>DES §16.1, §16.4, §11.5; G-24, G-06</t>
        </is>
      </c>
      <c r="G115" s="26" t="inlineStr">
        <is>
          <t>T-087</t>
        </is>
      </c>
      <c r="H115" s="25" t="n">
        <v>0.75</v>
      </c>
      <c r="I115" s="28" t="inlineStr">
        <is>
          <t>Opus 5</t>
        </is>
      </c>
      <c r="J115" s="28" t="inlineStr">
        <is>
          <t>Complete</t>
        </is>
      </c>
      <c r="K115" s="30" t="n">
        <v>1</v>
      </c>
      <c r="L115" s="31" t="n">
        <v>46286</v>
      </c>
      <c r="M115" s="31" t="n">
        <v>46286</v>
      </c>
      <c r="N115" s="28" t="n">
        <v>0.7</v>
      </c>
      <c r="O115" s="32" t="inlineStr">
        <is>
          <t>Added 2026-09-21. G-24 asked for a DECISION -- build the counter, or comment the ClientAddress column to say the edge owns it -- and the counter was built. The verdict comes back as an @AddressThrottled OUTPUT parameter rather than from a separate predicate function: ONE ROUND TRIP, so the count and the decision cannot disagree and no caller can record without checking. The arrival is recorded BEFORE any other validation, which costs a row per malformed request and is the point, because a malformed request is the cheapest flood to generate. One budget across both public forms. THE TASK DID NOT CLOSE G-06 AND SAYS SO: a counter behind an unlimited public form is a control an attacker pays for once per address, and the two obligations that remain -- edge rate limiting and a challenge on the form -- are on the far side of a network boundary. G-06 still blocks Variant 3 go-live. BL-070.</t>
        </is>
      </c>
    </row>
    <row r="116" s="23">
      <c r="A116" s="25" t="inlineStr">
        <is>
          <t>T-116</t>
        </is>
      </c>
      <c r="B116" s="26" t="inlineStr">
        <is>
          <t>6 Administration</t>
        </is>
      </c>
      <c r="C116" s="27" t="inlineStr">
        <is>
          <t>115_seed_reference_data.sql; 150_auth_query_procedures.sql</t>
        </is>
      </c>
      <c r="D116" s="27" t="inlineStr">
        <is>
          <t>Ui.CatalogueVersion -- a digest of the element catalogue that the seed recomputes and uspGetNavigationForProfile refuses a mismatch against</t>
        </is>
      </c>
      <c r="E116" s="25" t="inlineStr">
        <is>
          <t>Procedure</t>
        </is>
      </c>
      <c r="F116" s="27" t="inlineStr">
        <is>
          <t>DES §13.1; G-18; UIH-AUTH-001 §4.2, §10</t>
        </is>
      </c>
      <c r="G116" s="26" t="inlineStr">
        <is>
          <t>T-084</t>
        </is>
      </c>
      <c r="H116" s="25" t="n">
        <v>0.75</v>
      </c>
      <c r="I116" s="28" t="inlineStr">
        <is>
          <t>Opus 5</t>
        </is>
      </c>
      <c r="J116" s="28" t="inlineStr">
        <is>
          <t>Complete</t>
        </is>
      </c>
      <c r="K116" s="30" t="n">
        <v>1</v>
      </c>
      <c r="L116" s="31" t="n">
        <v>46286</v>
      </c>
      <c r="M116" s="31" t="n">
        <v>46286</v>
      </c>
      <c r="N116" s="28" t="n">
        <v>0.9</v>
      </c>
      <c r="O116" s="32" t="inlineStr">
        <is>
          <t>Added 2026-09-21. THE DATABASE RAISES THE MISMATCH, which is a departure from what G-18 proposed and is the whole value of the task: the gap asked the APPLICATION to assert the version at start-up, which leaves the control with the party whose defect it catches, and start-up is the wrong moment because a catalogue can be extended while an application is running. E-50230, checked before session resolution. The digest covers (ElementCode, PermissionCode, AccessMode) and excludes labels, sort orders and parentage, so the stamp tracks the interface and not the presentation. This is the one row in config.ApplicationSetting that 115 OVERWRITES on a match, against that file s own rule, because it is a fact about the catalogue rather than an operator s tuning. A blank argument is refused and an omitted one is not -- UI-43 is the row that tells a UI project why that matters. BL-069.</t>
        </is>
      </c>
    </row>
    <row r="117" s="23">
      <c r="A117" s="25" t="inlineStr">
        <is>
          <t>T-117</t>
        </is>
      </c>
      <c r="B117" s="26" t="inlineStr">
        <is>
          <t>6 Administration</t>
        </is>
      </c>
      <c r="C117" s="27" t="inlineStr">
        <is>
          <t>125_auth_tenant_procedures.sql; docs/10-database-authn-authz-design.md §23 (Appendix B), §14.5</t>
        </is>
      </c>
      <c r="D117" s="27" t="inlineStr">
        <is>
          <t>E-50180 for a malformed element inside a well-formed JSON array, raised before it is registered -- and the Appendix B correction that closing it uncovered</t>
        </is>
      </c>
      <c r="E117" s="25" t="inlineStr">
        <is>
          <t>Documentation</t>
        </is>
      </c>
      <c r="F117" s="27" t="inlineStr">
        <is>
          <t>DES §14.5, §23; INV-04, INV-05, INV-06; G-32</t>
        </is>
      </c>
      <c r="G117" s="26" t="inlineStr">
        <is>
          <t>T-114</t>
        </is>
      </c>
      <c r="H117" s="25" t="n">
        <v>0.5</v>
      </c>
      <c r="I117" s="28" t="inlineStr">
        <is>
          <t>Opus 5</t>
        </is>
      </c>
      <c r="J117" s="28" t="inlineStr">
        <is>
          <t>Complete</t>
        </is>
      </c>
      <c r="K117" s="30" t="n">
        <v>1</v>
      </c>
      <c r="L117" s="31" t="n">
        <v>46286</v>
      </c>
      <c r="M117" s="31" t="n">
        <v>46286</v>
      </c>
      <c r="N117" s="28" t="n">
        <v>0.6</v>
      </c>
      <c r="O117" s="32" t="inlineStr">
        <is>
          <t>Added 2026-09-21. THE ORDER WAS THE TASK. G-32 asked for E-50180 to be added to Appendix B, and adding it before the code that raises it would have produced a permanently unaccounted row in _tests/080 s ledger -- a report that always fails, which is the defect BL-064 records elsewhere. So the number was raised from uspSetTenantAuthenticationPolicy and uspSetTenantDefaultRoles first and registered in the same pass. THE CORRECTION IS WORTH MORE THAN THE NUMBER: G-32 and Appendix B s E-50046 row both named auth.uspAssignRolesToProfiles, a procedure this template never built and never will, because INV-04, INV-05 and INV-06 are each evaluated against the grant in hand and a set-based MERGE over profiles could not check them. Four phases, nobody noticed, because nothing executes a document. 112 s @CodeHashesJson was considered as a third raiser and left alone deliberately. BL-072.</t>
        </is>
      </c>
    </row>
    <row r="118" s="23">
      <c r="A118" s="25" t="inlineStr">
        <is>
          <t>T-118</t>
        </is>
      </c>
      <c r="B118" s="26" t="inlineStr">
        <is>
          <t>6 Administration</t>
        </is>
      </c>
      <c r="C118" s="27" t="inlineStr">
        <is>
          <t>docs/10-database-authn-authz-design.md §11.4, §16.4; docs/40-ui-handoff-m4.md §8</t>
        </is>
      </c>
      <c r="D118" s="27" t="inlineStr">
        <is>
          <t>The two gaps whose resolution is prose: the standing constraint that auth.[User] holds identity only, and the written refusal to close G-06 on the strength of the throttle</t>
        </is>
      </c>
      <c r="E118" s="25" t="inlineStr">
        <is>
          <t>Documentation</t>
        </is>
      </c>
      <c r="F118" s="27" t="inlineStr">
        <is>
          <t>DES §11.4, §16.4; G-27, G-06</t>
        </is>
      </c>
      <c r="G118" s="26" t="inlineStr">
        <is>
          <t>T-115</t>
        </is>
      </c>
      <c r="H118" s="25" t="n">
        <v>0.5</v>
      </c>
      <c r="I118" s="28" t="inlineStr">
        <is>
          <t>Opus 5</t>
        </is>
      </c>
      <c r="J118" s="28" t="inlineStr">
        <is>
          <t>Complete</t>
        </is>
      </c>
      <c r="K118" s="30" t="n">
        <v>1</v>
      </c>
      <c r="L118" s="31" t="n">
        <v>46286</v>
      </c>
      <c r="M118" s="31" t="n">
        <v>46286</v>
      </c>
      <c r="N118" s="28" t="n">
        <v>0.5</v>
      </c>
      <c r="O118" s="32" t="inlineStr">
        <is>
          <t>Added 2026-09-21. Two rows whose own resolutions asked for words and not code, which makes them the easiest to do badly. G-27: keep the design, and turn today s mitigation into tomorrow s rule -- ANY ATTRIBUTE THAT IS NOT NEEDED TO IDENTIFY A PERSON BELONGS ON A TENANT-SCOPED TABLE. §11.4 now gives three consequences rather than restating the rule: auth.[User] has no TenantId and cannot have one (D-02), so every column added to it is readable by every tenant s administrators without Platform.BypassRowSecurity; the attribute usually differs per hat anyway; and the identity set is the one a DIRECTORY can supply, which is why §18.1 converts cleanly. G-06: the harder half, because the temptation was to close it. §16.4 now carries a paragraph headed G-06 IS NOT CLOSED BY THE THROTTLE, naming both remaining obligations and which side of the network boundary each lives on, and UIH-AUTH-001 §8 item 9 says Variant 3 should not go to production with a publicly reachable registration page until both exist. Traceability marks DES §16.4 and §11.4 PARTIAL rather than rounding either up.</t>
        </is>
      </c>
    </row>
    <row r="119" s="23">
      <c r="A119" s="25" t="inlineStr">
        <is>
          <t>T-119</t>
        </is>
      </c>
      <c r="B119" s="26" t="inlineStr">
        <is>
          <t>6 Administration</t>
        </is>
      </c>
      <c r="C119" s="27" t="inlineStr">
        <is>
          <t>database/_tests/050_authorization_and_session.sql; database/_tests/080_error_catalogue.sql</t>
        </is>
      </c>
      <c r="D119" s="27" t="inlineStr">
        <is>
          <t>Prove every gap in the pass before its row is closed, and re-measure the error-catalogue ledger rather than recalculating it</t>
        </is>
      </c>
      <c r="E119" s="25" t="inlineStr">
        <is>
          <t>Test</t>
        </is>
      </c>
      <c r="F119" s="27" t="inlineStr">
        <is>
          <t>DES §6.3, §7.2, §13.1, §13.4, §14.5; G-12, G-18, G-21, G-30, G-32, G-42, G-43, G-44</t>
        </is>
      </c>
      <c r="G119" s="26" t="inlineStr">
        <is>
          <t>T-113</t>
        </is>
      </c>
      <c r="H119" s="25" t="n">
        <v>1</v>
      </c>
      <c r="I119" s="28" t="inlineStr">
        <is>
          <t>Opus 5</t>
        </is>
      </c>
      <c r="J119" s="28" t="inlineStr">
        <is>
          <t>Complete</t>
        </is>
      </c>
      <c r="K119" s="30" t="n">
        <v>1</v>
      </c>
      <c r="L119" s="31" t="n">
        <v>46286</v>
      </c>
      <c r="M119" s="31" t="n">
        <v>46286</v>
      </c>
      <c r="N119" s="28" t="n">
        <v>1.2</v>
      </c>
      <c r="O119" s="32" t="inlineStr">
        <is>
          <t>Added 2026-09-21. Nineteen new probes in _tests/080 and one new observation in _tests/050, both files exit 0. LEDGER RE-MEASURED: 122 throwable, 117 ever recorded, 96 raised here, 6 accounted for with a written reason, NONE UNACCOUNTED -- eleven numbers added and not one became a number nobody raises. The G-12 evidence had to go in _tests/050 section 5e and could not go anywhere else: 080 measures refusals and nothing refuses here, 040 has no auth.UserProfile rows for uspGetProfileContext to join to, and ONE CONNECTION MAY NOT SERVE TWO PROFILES so no other section of 050 could borrow section 5a s. It spells out all thirty-two columns deliberately -- INSERT ... EXEC demands a matching column count -- and back-dates LastChangedUtc ninety days, because CK_auth_UserCredential_ExpiresUtc requires ExpiresUtc &gt; LastChangedUtc and a credential expiring today necessarily had its verifier set earlier. Section 5g ASSERTS G-30 s seeded default rather than probing a refusal, then hand-soft-deletes its policy row in ONE statement so section 5f keeps measuring the no-policy path -- and having to reach past the procedure surface to do that is how G-44 was filed. BL-073.</t>
        </is>
      </c>
    </row>
    <row r="120" s="23">
      <c r="A120" s="25" t="inlineStr">
        <is>
          <t>T-120</t>
        </is>
      </c>
      <c r="B120" s="26" t="inlineStr">
        <is>
          <t>1 Tenancy</t>
        </is>
      </c>
      <c r="C120" s="27" t="inlineStr">
        <is>
          <t>database/_tests/030_tenancy_closure_reparent.sql</t>
        </is>
      </c>
      <c r="D120" s="27" t="inlineStr">
        <is>
          <t>Make the re-parenting test independent of the fixtures other test files leave behind, so its four pair-count constants and its view-against-closure invariant keep meaning what they meant</t>
        </is>
      </c>
      <c r="E120" s="25" t="inlineStr">
        <is>
          <t>Test</t>
        </is>
      </c>
      <c r="F120" s="27" t="inlineStr">
        <is>
          <t>DES §5.3; INV-02; PLAN §4 Phase 1 exit criteria</t>
        </is>
      </c>
      <c r="G120" s="26" t="inlineStr">
        <is>
          <t>T-023</t>
        </is>
      </c>
      <c r="H120" s="25" t="n">
        <v>0.25</v>
      </c>
      <c r="I120" s="28" t="inlineStr">
        <is>
          <t>Opus 5</t>
        </is>
      </c>
      <c r="J120" s="28" t="inlineStr">
        <is>
          <t>Complete</t>
        </is>
      </c>
      <c r="K120" s="30" t="n">
        <v>1</v>
      </c>
      <c r="L120" s="31" t="n">
        <v>46286</v>
      </c>
      <c r="M120" s="31" t="n">
        <v>46286</v>
      </c>
      <c r="N120" s="28" t="n">
        <v>0.4</v>
      </c>
      <c r="O120" s="32" t="inlineStr">
        <is>
          <t>Added 2026-09-21. THE TEST WAS WRONG AND EVERY OBJECT IT TESTS WAS RIGHT. Running the suite in the documented order to prove the gap-closing pass, 030 threw with seven VIOLATED rows on a database whose closure was provably correct -- all fourteen independent assertions in the same run passed. Three causes, all of them in the file. The four constants (27, 29, 25, 27) were compared against every live pair in the VARIANT2 application, and _tests/070 adds two tenants to that tree; they now measure @Declared, the nine tenants 020 declares, resolved nine-or-nothing so a short list cannot quietly lower them. auth.vwTenantHierarchy excludes a soft-deleted tenant and its subtree while auth.uspRebuildTenantClosure keeps that tenant's pairs LIVE -- both documented, both correct -- so the load-bearing invariant disagrees legitimately once 070 has re-run and soft-deleted the organization tenant its previous run approved; every count compared against the view is now restricted to descendants the view can see. And 4k asserted that every undeleted tenant is usable, which _tests/080's deliberately inactive E-50021 fixture falsifies; its population is now the view's own IsActive = 1 AND AnyAncestorInactive = 0. The file header states both scoping rules and names what each was found by. Exit 0, twenty-three observations -- twenty on the three movements and three on the refused cycle -- and no violations -- re-proved on 2026-09-21 by running 030 once more AFTER that day's three 070 runs, which is the order that had broken it. BL-074.</t>
        </is>
      </c>
    </row>
    <row r="121" s="23">
      <c r="A121" s="25" t="inlineStr">
        <is>
          <t>T-121</t>
        </is>
      </c>
      <c r="B121" s="26" t="inlineStr">
        <is>
          <t>4 Row security</t>
        </is>
      </c>
      <c r="C121" s="27" t="inlineStr">
        <is>
          <t>database/_tests/060_row_security.sql</t>
        </is>
      </c>
      <c r="D121" s="27" t="inlineStr">
        <is>
          <t>Assert the deployed read predicate carries the fixture's permission ids as a SET rather than as a rendered string, so the check can fail for the reason it was written for</t>
        </is>
      </c>
      <c r="E121" s="25" t="inlineStr">
        <is>
          <t>Test</t>
        </is>
      </c>
      <c r="F121" s="27" t="inlineStr">
        <is>
          <t>DES §10.1, §10.2, §10.3; UI-35; PLAN §4 Phase 4 exit criteria</t>
        </is>
      </c>
      <c r="G121" s="26" t="inlineStr">
        <is>
          <t>T-067</t>
        </is>
      </c>
      <c r="H121" s="25" t="n">
        <v>0.25</v>
      </c>
      <c r="I121" s="28" t="inlineStr">
        <is>
          <t>Opus 5</t>
        </is>
      </c>
      <c r="J121" s="28" t="inlineStr">
        <is>
          <t>Complete</t>
        </is>
      </c>
      <c r="K121" s="30" t="n">
        <v>1</v>
      </c>
      <c r="L121" s="31" t="n">
        <v>46286</v>
      </c>
      <c r="M121" s="31" t="n">
        <v>46286</v>
      </c>
      <c r="N121" s="28" t="n">
        <v>0.3</v>
      </c>
      <c r="O121" s="32" t="inlineStr">
        <is>
          <t>Added 2026-09-21, on the same suite run as T-120. Section 4 asserted that auth.tvfTenantReadPredicate carries the fixture's Data.Read id by doing a CHARINDEX for the whole rendered id list inside the module definition -- a list this file built with its own STRING_AGG, in no stated order, and expected to match the one 120_rls_policy.sql renders ascending. With six live Data.Read rows they stopped agreeing: the predicate said IN (1, 5, 26, 61, 96, 131), the test looked for IN (61, 131, 96, 1, 5, 26), and the run reported the policy as STALE while printing the fixture's own id inside the very list it said was missing. The check now lifts the list out of the definition, splits it, and compares it with the live Data.Read rows using EXCEPT in both directions, with the fixture's own id reported as a separate claim. THE FALSE ALARM WAS NOT THE WORST OF IT: the old form could never detect an id the predicate still enforces that is no longer a live Data.Read row, which is exactly the drift UI-35 exists to warn about. Exit 0, 16 observations, 3 notes. BL-075.</t>
        </is>
      </c>
    </row>
    <row r="122" s="23">
      <c r="A122" s="25" t="inlineStr">
        <is>
          <t>T-122</t>
        </is>
      </c>
      <c r="B122" s="26" t="inlineStr">
        <is>
          <t>7 Demo domain</t>
        </is>
      </c>
      <c r="C122" s="27" t="inlineStr">
        <is>
          <t>database/_scenarios/S1_load_agency.sql</t>
        </is>
      </c>
      <c r="D122" s="27" t="inlineStr">
        <is>
          <t>Build a deterministic population generator for test_scenario_1.txt: one agency over N counties, thirteen user cohorts, local and federated sign-in, TOTP factors, multi-county profile fan-out; re-runnable and re-parameterisable by -v AgencyCode / -v Wave / -v Seed.</t>
        </is>
      </c>
      <c r="E122" s="25" t="inlineStr">
        <is>
          <t>Script</t>
        </is>
      </c>
      <c r="F122" s="27" t="inlineStr">
        <is>
          <t>test_scenario_1.txt; DES 5.3, 8.5, 9.2, 11.2; BL-076</t>
        </is>
      </c>
      <c r="G122" s="26" t="inlineStr">
        <is>
          <t>T-095</t>
        </is>
      </c>
      <c r="H122" s="25" t="n">
        <v>1.5</v>
      </c>
      <c r="I122" s="28" t="inlineStr">
        <is>
          <t>Opus 5</t>
        </is>
      </c>
      <c r="J122" s="28" t="inlineStr">
        <is>
          <t>Complete</t>
        </is>
      </c>
      <c r="K122" s="30" t="n">
        <v>1</v>
      </c>
      <c r="L122" s="31" t="n">
        <v>46286</v>
      </c>
      <c r="M122" s="31" t="n">
        <v>46286</v>
      </c>
      <c r="N122" s="28" t="n">
        <v>1.75</v>
      </c>
      <c r="O122" s="32" t="inlineStr">
        <is>
          <t>Added and completed 2026-09-21. Generates 12,830 users / 30,490 profiles for a 67-county agency in 3.8 s, and 18,770 / 42,370 for a 100-county one in 6.4 s. Cohorts D1-D9 (agency) and C1-C6 (county) map one-to-one onto the paragraphs of the scenario; names are &lt;agency&gt;.&lt;wave&gt;.&lt;cohort&gt;[.&lt;county&gt;].&lt;serial&gt; so any row in any log traces back to the sentence that asked for it. Every insert is NOT EXISTS-guarded, so a re-run resumes and reports what it found rather than duplicating -- proved by running it four times across two databases. -v Wave is the doubling mechanism: a second wave adds users and profiles and NO tenants. NOT in the install manifest; it is a scenario tool, not part of the build. Had to create the CRUD_ACCESS and PROFILE_ASSIGNER roles itself, which is [[G-46]] and [[G-47]].</t>
        </is>
      </c>
    </row>
    <row r="123" s="23">
      <c r="A123" s="25" t="inlineStr">
        <is>
          <t>T-123</t>
        </is>
      </c>
      <c r="B123" s="26" t="inlineStr">
        <is>
          <t>7 Demo domain</t>
        </is>
      </c>
      <c r="C123" s="27" t="inlineStr">
        <is>
          <t>database/_scenarios/S1_prove_duties.sql</t>
        </is>
      </c>
      <c r="D123" s="27" t="inlineStr">
        <is>
          <t>Prove the generated population can actually do its work: sign in locally with 2FA and by Entra SSO, wear each hat, switch profiles repeatedly within one session, be refused correctly, and be audited -- asserted end to end, with exit 0 as the only pass criterion.</t>
        </is>
      </c>
      <c r="E123" s="25" t="inlineStr">
        <is>
          <t>Test</t>
        </is>
      </c>
      <c r="F123" s="27" t="inlineStr">
        <is>
          <t>test_scenario_1.txt; DES 9.4, 9.5, 9.6, 10.2, 15.2</t>
        </is>
      </c>
      <c r="G123" s="26" t="inlineStr">
        <is>
          <t>T-122</t>
        </is>
      </c>
      <c r="H123" s="25" t="n">
        <v>1.5</v>
      </c>
      <c r="I123" s="28" t="inlineStr">
        <is>
          <t>Opus 5</t>
        </is>
      </c>
      <c r="J123" s="28" t="inlineStr">
        <is>
          <t>Complete</t>
        </is>
      </c>
      <c r="K123" s="30" t="n">
        <v>1</v>
      </c>
      <c r="L123" s="31" t="n">
        <v>46286</v>
      </c>
      <c r="M123" s="31" t="n">
        <v>46286</v>
      </c>
      <c r="N123" s="28" t="n">
        <v>2</v>
      </c>
      <c r="O123" s="32" t="inlineStr">
        <is>
          <t>Added and completed 2026-09-21. About 1,160 lines, 18 :connect blocks, 34 asserted observations and a 9-row closing evidence ledger; every failure path THROWs (59200-59224) so the pass criterion is the exit code, not a report a reader has to audit. Covers a six-hop profile tour on ONE session (DEP - C005 - C010 - C020 - C030 - DEP), cross-agency isolation in both directions on the two-agency database, the 22 profiles of the eleven-county user, and the step-up refusal met by the platform admin. Four runs, all exit 0. Found [[G-45]], [[G-48]], [[G-50]] and [[G-51]], and states [[G-49]] rather than papering over it. A SAMPLE, NOT A CENSUS is a header section and not a footnote: ten named users stand for thirteen cohorts, because 12,830 serial sign-ins is nine hours and still proves nothing about contention.</t>
        </is>
      </c>
    </row>
    <row r="124" s="23">
      <c r="A124" s="25" t="inlineStr">
        <is>
          <t>T-124</t>
        </is>
      </c>
      <c r="B124" s="26" t="inlineStr">
        <is>
          <t>7 Demo domain</t>
        </is>
      </c>
      <c r="C124" s="27" t="inlineStr">
        <is>
          <t>docs/60-scenario-test-1.md</t>
        </is>
      </c>
      <c r="D124" s="27" t="inlineStr">
        <is>
          <t>Write up the scenario 1 test: what was asked, the four runs and their measured numbers, the population arithmetic cohort by cohort, the seven gaps found, and the explicit limits of what a serial sample proves.</t>
        </is>
      </c>
      <c r="E124" s="25" t="inlineStr">
        <is>
          <t>Doc</t>
        </is>
      </c>
      <c r="F124" s="27" t="inlineStr">
        <is>
          <t>test_scenario_1.txt; DES 16.2</t>
        </is>
      </c>
      <c r="G124" s="26" t="inlineStr">
        <is>
          <t>T-123</t>
        </is>
      </c>
      <c r="H124" s="25" t="n">
        <v>0.5</v>
      </c>
      <c r="I124" s="28" t="inlineStr">
        <is>
          <t>Opus 5</t>
        </is>
      </c>
      <c r="J124" s="28" t="inlineStr">
        <is>
          <t>Complete</t>
        </is>
      </c>
      <c r="K124" s="30" t="n">
        <v>1</v>
      </c>
      <c r="L124" s="31" t="n">
        <v>46286</v>
      </c>
      <c r="M124" s="31" t="n">
        <v>46286</v>
      </c>
      <c r="N124" s="28" t="n">
        <v>0.5</v>
      </c>
      <c r="O124" s="32" t="inlineStr">
        <is>
          <t>Added and completed 2026-09-21. Cited by the Implements: line of both scenario scripts, so it is the document a reader is sent to from the code. Carries the run table (12,830 / 12,830 / +12,830 / 18,770 users), the per-cohort arithmetic that was checked by hand against the database, the seven gaps with their measured evidence, and the sample-not-census argument in full.</t>
        </is>
      </c>
    </row>
    <row r="125" s="23">
      <c r="A125" s="25" t="inlineStr">
        <is>
          <t>T-125</t>
        </is>
      </c>
      <c r="B125" s="26" t="inlineStr">
        <is>
          <t>2 Identity</t>
        </is>
      </c>
      <c r="C125" s="27" t="inlineStr">
        <is>
          <t>database/112_auth_mfa_procedures.sql</t>
        </is>
      </c>
      <c r="D125" s="27" t="inlineStr">
        <is>
          <t>Close [[G-48]]: write auth.uspElevateSession so a live session can satisfy a second factor and be granted a bounded ElevatedUntilUtc window, making the E-50052 step-up refusal answerable.</t>
        </is>
      </c>
      <c r="E125" s="25" t="inlineStr">
        <is>
          <t>Procedure</t>
        </is>
      </c>
      <c r="F125" s="27" t="inlineStr">
        <is>
          <t>DES 9.4, 9.6; G-48</t>
        </is>
      </c>
      <c r="G125" s="26" t="inlineStr">
        <is>
          <t>T-041</t>
        </is>
      </c>
      <c r="H125" s="25" t="n">
        <v>1</v>
      </c>
      <c r="I125" s="28" t="inlineStr">
        <is>
          <t>Unassigned</t>
        </is>
      </c>
      <c r="J125" s="28" t="inlineStr">
        <is>
          <t>Complete</t>
        </is>
      </c>
      <c r="K125" s="30" t="n">
        <v>1</v>
      </c>
      <c r="L125" s="31" t="inlineStr">
        <is>
          <t>2026-09-21</t>
        </is>
      </c>
      <c r="M125" s="31" t="inlineStr">
        <is>
          <t>2026-09-21</t>
        </is>
      </c>
      <c r="N125" s="28" t="n">
        <v>1</v>
      </c>
      <c r="O125" s="32" t="inlineStr">
        <is>
          <t>COMPLETE 2026-09-21. auth.uspElevateSession, 112_auth_mfa_procedures.sql, deployed to testTemplate and testTemplateS1 and smoke-tested A-E on both (PASS). Signature: @SessionTokenHash VARBINARY(32), @TimeStep BIGINT = NULL, @RecoveryCodeHash VARBINARY(32) = NULL, @FactorType VARCHAR(20) = 'Totp', @ElevatedUntilUtc DATETIME2(3) OUTPUT -- exactly one of the two routes, never both, because both together would mean a failed code silently spending a recovery code and neither means there is nothing to verify. Errors 50125-50129 registered in Appendix B and in docs/40. Proved three ways: _tests/080 section 12A on a hatless connection, S1_prove_duties.sql section 7 (four assertions, and the hand-written UPDATE deleted), and evidence row 12 of that scenario. THE ONE THING THAT COST TIME was not the procedure: the E-50129 probe fired five refusals and expected the sixth to raise it, and the threshold-th refusal is the one that revokes -- the count includes the attempt in hand. The probe now reads Authn.LockoutThreshold from config and loops one short of it. Closes [[G-48]].</t>
        </is>
      </c>
    </row>
    <row r="126" s="23">
      <c r="A126" s="25" t="inlineStr">
        <is>
          <t>T-126</t>
        </is>
      </c>
      <c r="B126" s="26" t="inlineStr">
        <is>
          <t>2 Identity</t>
        </is>
      </c>
      <c r="C126" s="27" t="inlineStr">
        <is>
          <t>database/140_auth_profile_procedures.sql + database/150_auth_query_procedures.sql</t>
        </is>
      </c>
      <c r="D126" s="27" t="inlineStr">
        <is>
          <t>Close [[G-51]]: add auth.uspListMyProfiles so a profileless session can build the hat menu, and split the misleading "no session context" diagnostic in auth.uspDemandPermission.</t>
        </is>
      </c>
      <c r="E126" s="25" t="inlineStr">
        <is>
          <t>Procedure</t>
        </is>
      </c>
      <c r="F126" s="27" t="inlineStr">
        <is>
          <t>DES 9.5, 12.1; G-51; UI-36, UI-46</t>
        </is>
      </c>
      <c r="G126" s="26" t="inlineStr">
        <is>
          <t>T-038</t>
        </is>
      </c>
      <c r="H126" s="25" t="n">
        <v>0.75</v>
      </c>
      <c r="I126" s="28" t="inlineStr">
        <is>
          <t>Unassigned</t>
        </is>
      </c>
      <c r="J126" s="28" t="inlineStr">
        <is>
          <t>Complete</t>
        </is>
      </c>
      <c r="K126" s="30" t="n">
        <v>1</v>
      </c>
      <c r="L126" s="31" t="inlineStr">
        <is>
          <t>2026-09-21</t>
        </is>
      </c>
      <c r="M126" s="31" t="inlineStr">
        <is>
          <t>2026-09-21</t>
        </is>
      </c>
      <c r="N126" s="28" t="n">
        <v>0.75</v>
      </c>
      <c r="O126" s="32" t="inlineStr">
        <is>
          <t>COMPLETE 2026-09-21. Both halves shipped. auth.uspListMyProfiles in 140_auth_profile_procedures.sql demands nothing, takes no user id, reads the caller's hats from the session row, and returns thirteen columns with IsSwitchable and SwitchBlockedReason; E-50166 covers the session-vanished race and exists so that caller is not handed an empty list, which would read as 'you have no profiles'. E-50032 split out of E-50030 in auth.uspDemandPermission, because a profileless session was being told it had met a server-side defect. Deployed to both databases, 4/4 smoke probes PASS. Asserted in _tests/080 section 12A d and in S1_prove_duties.sql section 9, which requires the NUMBER to be 50032 and then lists all 22 hats of a session wearing none of them. UI-46 rewritten from 'cannot be built' to how to build it. Closes [[G-51]]. Artefact cell corrected: the planned 110_auth_authn_procedures.sql holds the sign-in path, not the profile surface -- uspListMyProfiles landed in 140 with the other profile procedures and the E-50032 split in 150 with uspDemandPermission.</t>
        </is>
      </c>
    </row>
    <row r="127" s="23">
      <c r="A127" s="25" t="inlineStr">
        <is>
          <t>T-127</t>
        </is>
      </c>
      <c r="B127" s="26" t="inlineStr">
        <is>
          <t>2 Identity</t>
        </is>
      </c>
      <c r="C127" s="27" t="inlineStr">
        <is>
          <t>database/140_auth_profile_procedures.sql</t>
        </is>
      </c>
      <c r="D127" s="27" t="inlineStr">
        <is>
          <t>Close [[G-50]]: carry UserSessionId on the ProfileSwitch and MfaChallenged rows that auth.uspSwitchProfile writes, and audit every other logs.AuthenticationEvent writer for the same omission.</t>
        </is>
      </c>
      <c r="E127" s="25" t="inlineStr">
        <is>
          <t>Procedure</t>
        </is>
      </c>
      <c r="F127" s="27" t="inlineStr">
        <is>
          <t>DES 9.6, 15.2; G-50</t>
        </is>
      </c>
      <c r="G127" s="26" t="inlineStr">
        <is>
          <t>T-038</t>
        </is>
      </c>
      <c r="H127" s="25" t="n">
        <v>0.25</v>
      </c>
      <c r="I127" s="28" t="inlineStr">
        <is>
          <t>Unassigned</t>
        </is>
      </c>
      <c r="J127" s="28" t="inlineStr">
        <is>
          <t>Complete</t>
        </is>
      </c>
      <c r="K127" s="30" t="n">
        <v>1</v>
      </c>
      <c r="L127" s="31" t="inlineStr">
        <is>
          <t>2026-09-21</t>
        </is>
      </c>
      <c r="M127" s="31" t="inlineStr">
        <is>
          <t>2026-09-21</t>
        </is>
      </c>
      <c r="N127" s="28" t="n">
        <v>0.25</v>
      </c>
      <c r="O127" s="32" t="inlineStr">
        <is>
          <t>COMPLETE 2026-09-21. UserSessionId added to the ProfileSwitch and MfaChallenged INSERTs in auth.uspSwitchProfile; the audit the task asked for found no third site, every other logs.AuthenticationEvent writer already carried it. No schema change, no migration, and the 73 existing NULL rows stay NULL as history -- which is why the regression check is SCOPED TO A RUN. The assertion is the deliverable, not the column: S1_prove_duties.sql section 6 takes the same count correlated by name and time AND joined by session id and requires them equal with no orphans, so dropping the column again fails with both numbers in the message. Evidence rows 10 and 11 added to the same file. Verified live on both databases. Closes [[G-50]]. Artefact cell corrected: auth.uspSwitchProfile lives in 140_auth_profile_procedures.sql, not the planned 110_auth_authn_procedures.sql.</t>
        </is>
      </c>
    </row>
    <row r="128" s="23">
      <c r="A128" s="25" t="inlineStr">
        <is>
          <t>T-128</t>
        </is>
      </c>
      <c r="B128" s="26" t="inlineStr">
        <is>
          <t>0 Foundations</t>
        </is>
      </c>
      <c r="C128" s="27" t="inlineStr">
        <is>
          <t>database/115_seed_reference_data.sql</t>
        </is>
      </c>
      <c r="D128" s="27" t="inlineStr">
        <is>
          <t>Close [[G-46]] and [[G-47]]: seed a CRUD_ACCESS role and a PROFILE_ASSIGNER role, so the two commonest profile shapes in a real deployment come from the template instead of being invented once per project.</t>
        </is>
      </c>
      <c r="E128" s="25" t="inlineStr">
        <is>
          <t>Script</t>
        </is>
      </c>
      <c r="F128" s="27" t="inlineStr">
        <is>
          <t>DES 11.2, Appendix A; G-46, G-47</t>
        </is>
      </c>
      <c r="G128" s="26" t="inlineStr">
        <is>
          <t>T-012</t>
        </is>
      </c>
      <c r="H128" s="25" t="n">
        <v>0.5</v>
      </c>
      <c r="I128" s="28" t="inlineStr">
        <is>
          <t>Unassigned</t>
        </is>
      </c>
      <c r="J128" s="28" t="inlineStr">
        <is>
          <t>Complete</t>
        </is>
      </c>
      <c r="K128" s="30" t="n">
        <v>1</v>
      </c>
      <c r="L128" s="31" t="inlineStr">
        <is>
          <t>2026-09-21</t>
        </is>
      </c>
      <c r="M128" s="31" t="inlineStr">
        <is>
          <t>2026-09-21</t>
        </is>
      </c>
      <c r="N128" s="28" t="n">
        <v>0.5</v>
      </c>
      <c r="O128" s="32" t="inlineStr">
        <is>
          <t>COMPLETE 2026-09-21. CRUD_ACCESS (Data.Read, Insert, Update, SoftDelete, Execute -- NOT Restore) and PROFILE_ASSIGNER (Authz.ProfileCreate, ProfileRead, ProfileUpdate, RoleAssign -- and not RoleCreate or RoleUpdate, which is the over-grant ROLE_ADMIN forced) seeded in 115_seed_reference_data.sql and deployed to both databases. THE SECOND HALF IS WHAT KEEPS THEM SEEDED: _scenarios/S1_load_agency.sql no longer creates either role when absent, it ASSERTS the template seeded them and fails loudly otherwise. A loader that creates what it needs hides the next omission of this kind, which is how both gaps stayed invisible. Closes [[G-46]] and [[G-47]].</t>
        </is>
      </c>
    </row>
    <row r="129" s="23">
      <c r="A129" s="25" t="inlineStr">
        <is>
          <t>T-129</t>
        </is>
      </c>
      <c r="B129" s="26" t="inlineStr">
        <is>
          <t>7 Demo domain</t>
        </is>
      </c>
      <c r="C129" s="27" t="inlineStr">
        <is>
          <t>database/180_dbo_application_procedures.sql</t>
        </is>
      </c>
      <c r="D129" s="27" t="inlineStr">
        <is>
          <t>Close [[G-45]]: give the demo domain one module that genuinely demands Data.Execute, so the execute verb of the scenario's CRUD definition can be permitted and refused like the other four.</t>
        </is>
      </c>
      <c r="E129" s="25" t="inlineStr">
        <is>
          <t>Procedure</t>
        </is>
      </c>
      <c r="F129" s="27" t="inlineStr">
        <is>
          <t>DES 10.3, Appendix A; G-45</t>
        </is>
      </c>
      <c r="G129" s="26" t="inlineStr">
        <is>
          <t>T-095</t>
        </is>
      </c>
      <c r="H129" s="25" t="n">
        <v>0.5</v>
      </c>
      <c r="I129" s="28" t="inlineStr">
        <is>
          <t>Unassigned</t>
        </is>
      </c>
      <c r="J129" s="28" t="inlineStr">
        <is>
          <t>Complete</t>
        </is>
      </c>
      <c r="K129" s="30" t="n">
        <v>1</v>
      </c>
      <c r="L129" s="31" t="inlineStr">
        <is>
          <t>2026-09-21</t>
        </is>
      </c>
      <c r="M129" s="31" t="inlineStr">
        <is>
          <t>2026-09-21</t>
        </is>
      </c>
      <c r="N129" s="28" t="n">
        <v>0.5</v>
      </c>
      <c r="O129" s="32" t="inlineStr">
        <is>
          <t>COMPLETE 2026-09-21. dbo.uspCloseApprovedCaseFiles -- a BATCHED SWEEP, not the per-row state machine the task suggested, and that is the point: a per-row action would demand the verb once per call and prove nothing Data.Update does not, while a sweep is a thing a caller RUNS. Demands Data.Execute at the acting tenant through auth.uspDemandPermission, so it is refused for a profile without it and permitted for one with it. E-50208 bounds @OlderThanDays and @MaxCaseFiles (the batch ceiling protects every OTHER tenant: the locks are held on dbo.CaseFile for one transaction and that table is shared); E-50209 rolls the whole batch back if the trail-row count is not the closed-row count, the trail being written from the UPDATE's OUTPUT clause. THE FIXTURE NEEDED WORK TOO: nothing seeded held Data.Execute, so _tests/080 gained OPERATOR in section 1d -- without it the E-50208 probe would have raised E-50030 and proved the opposite. Smoke A-E PASS twice; probed in _tests/080 section 13. Note the Artefact cell was corrected: 180_demo_domain.sql does not exist. Closes [[G-45]].</t>
        </is>
      </c>
    </row>
    <row r="130" s="23">
      <c r="A130" s="25" t="inlineStr">
        <is>
          <t>T-130</t>
        </is>
      </c>
      <c r="B130" s="26" t="inlineStr">
        <is>
          <t>8 Verification</t>
        </is>
      </c>
      <c r="C130" s="27" t="inlineStr">
        <is>
          <t>database/_perf/T130_concurrency_harness.sql + database/_perf/T130_concurrency_driver.ps1</t>
        </is>
      </c>
      <c r="D130" s="27" t="inlineStr">
        <is>
          <t>Close [[G-49]]: build a concurrency driver over the generated scenario population, because sqlcmd cannot open two sessions at once and everything this system does under load is therefore unmeasured.</t>
        </is>
      </c>
      <c r="E130" s="25" t="inlineStr">
        <is>
          <t>Test</t>
        </is>
      </c>
      <c r="F130" s="27" t="inlineStr">
        <is>
          <t>DES 16.2; PLAN 4 Phase 5; G-49</t>
        </is>
      </c>
      <c r="G130" s="26" t="inlineStr">
        <is>
          <t>T-122</t>
        </is>
      </c>
      <c r="H130" s="25" t="n">
        <v>2</v>
      </c>
      <c r="I130" s="28" t="inlineStr">
        <is>
          <t>Unassigned</t>
        </is>
      </c>
      <c r="J130" s="28" t="inlineStr">
        <is>
          <t>Complete</t>
        </is>
      </c>
      <c r="K130" s="30" t="n">
        <v>1</v>
      </c>
      <c r="L130" s="31" t="inlineStr">
        <is>
          <t>2026-09-21</t>
        </is>
      </c>
      <c r="M130" s="31" t="inlineStr">
        <is>
          <t>2026-09-21</t>
        </is>
      </c>
      <c r="N130" s="28" t="n">
        <v>2</v>
      </c>
      <c r="O130" s="32" t="inlineStr">
        <is>
          <t>COMPLETE 2026-09-21, in two artefacts because one language could not do it -- and the Artefact cell was corrected: tools/ConcurrencyHarness was never created. THE SQL HARNESS (922 lines) measured a role-change ladder at 100/250/500/1,000 profiles: 20.3s / 68.8s / 137.4s / 276.7s, which is 202/275/274/276 ms per profile -- linear -- with 325/806/1,609/3,214 key locks and ZERO table-level X or S locks at every step, so a rebuild for one profile does not stop the table. It also priced a sign-in in locks: 200 session rows in one transaction, 1,000 key locks, about five per row. Report: 0 RISK, 2 ACTION, 1 SKIPPED, no UNMEASURED row. THE POWERSHELL DRIVER (723 lines) did what sqlcmd cannot: 128 real sign-ins on 16 simultaneous connections in 0.3s -- 428.5/sec, p50 6.3 ms, p95 16.6 ms, max 30.3 ms, no failures -- accumulating WRITELOG and PAGELATCH waits and ZERO ms of LOCK waiting; a pooled connection proved to come back with SESSION_CONTEXT cleared; and the switch-versus-deactivate pair ran 160 times in the deployed order with NO deadlock AGAINST 80 DEADLOCKS IN THE POSITIVE CONTROL, which is what makes the negative result evidence rather than a claim. SIX DEFECTS IN THE DRIVER WERE FOUND BEFORE IT WAS BELIEVED, all by refusing a plausible number: '0 sign-ins, 128 errors numbered -1' and '0 deadlocks in the control' shared one root cause. Three generalise to any .NET client and are now UI-52, UI-53 and UI-54. Closes [[G-49]].</t>
        </is>
      </c>
    </row>
  </sheetData>
  <autoFilter ref="A1:O112"/>
  <dataValidations count="2">
    <dataValidation sqref="J2:J112" showDropDown="0" showInputMessage="0" showErrorMessage="0" allowBlank="1" type="list" errorStyle="stop" operator="between">
      <formula1>"Not started,In progress,Blocked,In review,Complete,Deferred"</formula1>
      <formula2>0</formula2>
    </dataValidation>
    <dataValidation sqref="E2:E112" showDropDown="0" showInputMessage="0" showErrorMessage="0" allowBlank="1" type="list" errorStyle="stop" operator="between">
      <formula1>"Documentation,Environment,Function,Policy,Procedure,Script,Table,Test,Trigger,View"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22" min="1" max="1"/>
    <col width="9" customWidth="1" style="22" min="2" max="2"/>
    <col width="12" customWidth="1" style="22" min="3" max="4"/>
    <col width="10" customWidth="1" style="22" min="5" max="6"/>
    <col width="11" customWidth="1" style="22" min="7" max="9"/>
    <col width="12" customWidth="1" style="22" min="10" max="10"/>
    <col width="11" customWidth="1" style="22" min="11" max="11"/>
    <col width="12" customWidth="1" style="22" min="12" max="12"/>
  </cols>
  <sheetData>
    <row r="1" ht="17.25" customHeight="1" s="23">
      <c r="A1" s="33" t="inlineStr">
        <is>
          <t>Phase roll-up — every figure is a formula over the Tasks sheet</t>
        </is>
      </c>
    </row>
    <row r="3" ht="30" customHeight="1" s="23">
      <c r="A3" s="24" t="inlineStr">
        <is>
          <t>Phase</t>
        </is>
      </c>
      <c r="B3" s="24" t="inlineStr">
        <is>
          <t>Tasks</t>
        </is>
      </c>
      <c r="C3" s="24" t="inlineStr">
        <is>
          <t>Not started</t>
        </is>
      </c>
      <c r="D3" s="24" t="inlineStr">
        <is>
          <t>In progress</t>
        </is>
      </c>
      <c r="E3" s="24" t="inlineStr">
        <is>
          <t>Blocked</t>
        </is>
      </c>
      <c r="F3" s="24" t="inlineStr">
        <is>
          <t>In review</t>
        </is>
      </c>
      <c r="G3" s="24" t="inlineStr">
        <is>
          <t>Complete</t>
        </is>
      </c>
      <c r="H3" s="24" t="inlineStr">
        <is>
          <t>Deferred</t>
        </is>
      </c>
      <c r="I3" s="24" t="inlineStr">
        <is>
          <t>Est. Days</t>
        </is>
      </c>
      <c r="J3" s="24" t="inlineStr">
        <is>
          <t>Actual Days</t>
        </is>
      </c>
      <c r="K3" s="24" t="inlineStr">
        <is>
          <t>Variance</t>
        </is>
      </c>
      <c r="L3" s="24" t="inlineStr">
        <is>
          <t>% Complete</t>
        </is>
      </c>
    </row>
    <row r="4" ht="15" customHeight="1" s="23">
      <c r="A4" s="26" t="inlineStr">
        <is>
          <t>0 Foundations</t>
        </is>
      </c>
      <c r="B4" s="25">
        <f>COUNTIF(Tasks!$B$2:$B$400,$A4)</f>
        <v/>
      </c>
      <c r="C4" s="25">
        <f>COUNTIFS(Tasks!$B$2:$B$400,$A4,Tasks!$J$2:$J$400,"Not started")</f>
        <v/>
      </c>
      <c r="D4" s="25">
        <f>COUNTIFS(Tasks!$B$2:$B$400,$A4,Tasks!$J$2:$J$400,"In progress")</f>
        <v/>
      </c>
      <c r="E4" s="25">
        <f>COUNTIFS(Tasks!$B$2:$B$400,$A4,Tasks!$J$2:$J$400,"Blocked")</f>
        <v/>
      </c>
      <c r="F4" s="25">
        <f>COUNTIFS(Tasks!$B$2:$B$400,$A4,Tasks!$J$2:$J$400,"In review")</f>
        <v/>
      </c>
      <c r="G4" s="25">
        <f>COUNTIFS(Tasks!$B$2:$B$400,$A4,Tasks!$J$2:$J$400,"Complete")</f>
        <v/>
      </c>
      <c r="H4" s="25">
        <f>COUNTIFS(Tasks!$B$2:$B$400,$A4,Tasks!$J$2:$J$400,"Deferred")</f>
        <v/>
      </c>
      <c r="I4" s="34">
        <f>SUMIF(Tasks!$B$2:$B$400,$A4,Tasks!$H$2:$H$400)</f>
        <v/>
      </c>
      <c r="J4" s="34">
        <f>SUMIF(Tasks!$B$2:$B$400,$A4,Tasks!$N$2:$N$400)</f>
        <v/>
      </c>
      <c r="K4" s="34">
        <f>IF(J4=0,"",J4-I4)</f>
        <v/>
      </c>
      <c r="L4" s="35">
        <f>IFERROR(G4/B4,0)</f>
        <v/>
      </c>
    </row>
    <row r="5" ht="15" customHeight="1" s="23">
      <c r="A5" s="26" t="inlineStr">
        <is>
          <t>1 Tenancy</t>
        </is>
      </c>
      <c r="B5" s="25">
        <f>COUNTIF(Tasks!$B$2:$B$400,$A5)</f>
        <v/>
      </c>
      <c r="C5" s="25">
        <f>COUNTIFS(Tasks!$B$2:$B$400,$A5,Tasks!$J$2:$J$400,"Not started")</f>
        <v/>
      </c>
      <c r="D5" s="25">
        <f>COUNTIFS(Tasks!$B$2:$B$400,$A5,Tasks!$J$2:$J$400,"In progress")</f>
        <v/>
      </c>
      <c r="E5" s="25">
        <f>COUNTIFS(Tasks!$B$2:$B$400,$A5,Tasks!$J$2:$J$400,"Blocked")</f>
        <v/>
      </c>
      <c r="F5" s="25">
        <f>COUNTIFS(Tasks!$B$2:$B$400,$A5,Tasks!$J$2:$J$400,"In review")</f>
        <v/>
      </c>
      <c r="G5" s="25">
        <f>COUNTIFS(Tasks!$B$2:$B$400,$A5,Tasks!$J$2:$J$400,"Complete")</f>
        <v/>
      </c>
      <c r="H5" s="25">
        <f>COUNTIFS(Tasks!$B$2:$B$400,$A5,Tasks!$J$2:$J$400,"Deferred")</f>
        <v/>
      </c>
      <c r="I5" s="34">
        <f>SUMIF(Tasks!$B$2:$B$400,$A5,Tasks!$H$2:$H$400)</f>
        <v/>
      </c>
      <c r="J5" s="34">
        <f>SUMIF(Tasks!$B$2:$B$400,$A5,Tasks!$N$2:$N$400)</f>
        <v/>
      </c>
      <c r="K5" s="34">
        <f>IF(J5=0,"",J5-I5)</f>
        <v/>
      </c>
      <c r="L5" s="35">
        <f>IFERROR(G5/B5,0)</f>
        <v/>
      </c>
    </row>
    <row r="6" ht="15" customHeight="1" s="23">
      <c r="A6" s="26" t="inlineStr">
        <is>
          <t>2 Identity</t>
        </is>
      </c>
      <c r="B6" s="25">
        <f>COUNTIF(Tasks!$B$2:$B$400,$A6)</f>
        <v/>
      </c>
      <c r="C6" s="25">
        <f>COUNTIFS(Tasks!$B$2:$B$400,$A6,Tasks!$J$2:$J$400,"Not started")</f>
        <v/>
      </c>
      <c r="D6" s="25">
        <f>COUNTIFS(Tasks!$B$2:$B$400,$A6,Tasks!$J$2:$J$400,"In progress")</f>
        <v/>
      </c>
      <c r="E6" s="25">
        <f>COUNTIFS(Tasks!$B$2:$B$400,$A6,Tasks!$J$2:$J$400,"Blocked")</f>
        <v/>
      </c>
      <c r="F6" s="25">
        <f>COUNTIFS(Tasks!$B$2:$B$400,$A6,Tasks!$J$2:$J$400,"In review")</f>
        <v/>
      </c>
      <c r="G6" s="25">
        <f>COUNTIFS(Tasks!$B$2:$B$400,$A6,Tasks!$J$2:$J$400,"Complete")</f>
        <v/>
      </c>
      <c r="H6" s="25">
        <f>COUNTIFS(Tasks!$B$2:$B$400,$A6,Tasks!$J$2:$J$400,"Deferred")</f>
        <v/>
      </c>
      <c r="I6" s="34">
        <f>SUMIF(Tasks!$B$2:$B$400,$A6,Tasks!$H$2:$H$400)</f>
        <v/>
      </c>
      <c r="J6" s="34">
        <f>SUMIF(Tasks!$B$2:$B$400,$A6,Tasks!$N$2:$N$400)</f>
        <v/>
      </c>
      <c r="K6" s="34">
        <f>IF(J6=0,"",J6-I6)</f>
        <v/>
      </c>
      <c r="L6" s="35">
        <f>IFERROR(G6/B6,0)</f>
        <v/>
      </c>
    </row>
    <row r="7" ht="15" customHeight="1" s="23">
      <c r="A7" s="26" t="inlineStr">
        <is>
          <t>3 Authorization</t>
        </is>
      </c>
      <c r="B7" s="25">
        <f>COUNTIF(Tasks!$B$2:$B$400,$A7)</f>
        <v/>
      </c>
      <c r="C7" s="25">
        <f>COUNTIFS(Tasks!$B$2:$B$400,$A7,Tasks!$J$2:$J$400,"Not started")</f>
        <v/>
      </c>
      <c r="D7" s="25">
        <f>COUNTIFS(Tasks!$B$2:$B$400,$A7,Tasks!$J$2:$J$400,"In progress")</f>
        <v/>
      </c>
      <c r="E7" s="25">
        <f>COUNTIFS(Tasks!$B$2:$B$400,$A7,Tasks!$J$2:$J$400,"Blocked")</f>
        <v/>
      </c>
      <c r="F7" s="25">
        <f>COUNTIFS(Tasks!$B$2:$B$400,$A7,Tasks!$J$2:$J$400,"In review")</f>
        <v/>
      </c>
      <c r="G7" s="25">
        <f>COUNTIFS(Tasks!$B$2:$B$400,$A7,Tasks!$J$2:$J$400,"Complete")</f>
        <v/>
      </c>
      <c r="H7" s="25">
        <f>COUNTIFS(Tasks!$B$2:$B$400,$A7,Tasks!$J$2:$J$400,"Deferred")</f>
        <v/>
      </c>
      <c r="I7" s="34">
        <f>SUMIF(Tasks!$B$2:$B$400,$A7,Tasks!$H$2:$H$400)</f>
        <v/>
      </c>
      <c r="J7" s="34">
        <f>SUMIF(Tasks!$B$2:$B$400,$A7,Tasks!$N$2:$N$400)</f>
        <v/>
      </c>
      <c r="K7" s="34">
        <f>IF(J7=0,"",J7-I7)</f>
        <v/>
      </c>
      <c r="L7" s="35">
        <f>IFERROR(G7/B7,0)</f>
        <v/>
      </c>
    </row>
    <row r="8" ht="15" customHeight="1" s="23">
      <c r="A8" s="26" t="inlineStr">
        <is>
          <t>4 Row security</t>
        </is>
      </c>
      <c r="B8" s="25">
        <f>COUNTIF(Tasks!$B$2:$B$400,$A8)</f>
        <v/>
      </c>
      <c r="C8" s="25">
        <f>COUNTIFS(Tasks!$B$2:$B$400,$A8,Tasks!$J$2:$J$400,"Not started")</f>
        <v/>
      </c>
      <c r="D8" s="25">
        <f>COUNTIFS(Tasks!$B$2:$B$400,$A8,Tasks!$J$2:$J$400,"In progress")</f>
        <v/>
      </c>
      <c r="E8" s="25">
        <f>COUNTIFS(Tasks!$B$2:$B$400,$A8,Tasks!$J$2:$J$400,"Blocked")</f>
        <v/>
      </c>
      <c r="F8" s="25">
        <f>COUNTIFS(Tasks!$B$2:$B$400,$A8,Tasks!$J$2:$J$400,"In review")</f>
        <v/>
      </c>
      <c r="G8" s="25">
        <f>COUNTIFS(Tasks!$B$2:$B$400,$A8,Tasks!$J$2:$J$400,"Complete")</f>
        <v/>
      </c>
      <c r="H8" s="25">
        <f>COUNTIFS(Tasks!$B$2:$B$400,$A8,Tasks!$J$2:$J$400,"Deferred")</f>
        <v/>
      </c>
      <c r="I8" s="34">
        <f>SUMIF(Tasks!$B$2:$B$400,$A8,Tasks!$H$2:$H$400)</f>
        <v/>
      </c>
      <c r="J8" s="34">
        <f>SUMIF(Tasks!$B$2:$B$400,$A8,Tasks!$N$2:$N$400)</f>
        <v/>
      </c>
      <c r="K8" s="34">
        <f>IF(J8=0,"",J8-I8)</f>
        <v/>
      </c>
      <c r="L8" s="35">
        <f>IFERROR(G8/B8,0)</f>
        <v/>
      </c>
    </row>
    <row r="9" ht="15" customHeight="1" s="23">
      <c r="A9" s="26" t="inlineStr">
        <is>
          <t>5 Performance</t>
        </is>
      </c>
      <c r="B9" s="25">
        <f>COUNTIF(Tasks!$B$2:$B$400,$A9)</f>
        <v/>
      </c>
      <c r="C9" s="25">
        <f>COUNTIFS(Tasks!$B$2:$B$400,$A9,Tasks!$J$2:$J$400,"Not started")</f>
        <v/>
      </c>
      <c r="D9" s="25">
        <f>COUNTIFS(Tasks!$B$2:$B$400,$A9,Tasks!$J$2:$J$400,"In progress")</f>
        <v/>
      </c>
      <c r="E9" s="25">
        <f>COUNTIFS(Tasks!$B$2:$B$400,$A9,Tasks!$J$2:$J$400,"Blocked")</f>
        <v/>
      </c>
      <c r="F9" s="25">
        <f>COUNTIFS(Tasks!$B$2:$B$400,$A9,Tasks!$J$2:$J$400,"In review")</f>
        <v/>
      </c>
      <c r="G9" s="25">
        <f>COUNTIFS(Tasks!$B$2:$B$400,$A9,Tasks!$J$2:$J$400,"Complete")</f>
        <v/>
      </c>
      <c r="H9" s="25">
        <f>COUNTIFS(Tasks!$B$2:$B$400,$A9,Tasks!$J$2:$J$400,"Deferred")</f>
        <v/>
      </c>
      <c r="I9" s="34">
        <f>SUMIF(Tasks!$B$2:$B$400,$A9,Tasks!$H$2:$H$400)</f>
        <v/>
      </c>
      <c r="J9" s="34">
        <f>SUMIF(Tasks!$B$2:$B$400,$A9,Tasks!$N$2:$N$400)</f>
        <v/>
      </c>
      <c r="K9" s="34">
        <f>IF(J9=0,"",J9-I9)</f>
        <v/>
      </c>
      <c r="L9" s="35">
        <f>IFERROR(G9/B9,0)</f>
        <v/>
      </c>
    </row>
    <row r="10" ht="15" customHeight="1" s="23">
      <c r="A10" s="26" t="inlineStr">
        <is>
          <t>6 Administration</t>
        </is>
      </c>
      <c r="B10" s="25">
        <f>COUNTIF(Tasks!$B$2:$B$400,$A10)</f>
        <v/>
      </c>
      <c r="C10" s="25">
        <f>COUNTIFS(Tasks!$B$2:$B$400,$A10,Tasks!$J$2:$J$400,"Not started")</f>
        <v/>
      </c>
      <c r="D10" s="25">
        <f>COUNTIFS(Tasks!$B$2:$B$400,$A10,Tasks!$J$2:$J$400,"In progress")</f>
        <v/>
      </c>
      <c r="E10" s="25">
        <f>COUNTIFS(Tasks!$B$2:$B$400,$A10,Tasks!$J$2:$J$400,"Blocked")</f>
        <v/>
      </c>
      <c r="F10" s="25">
        <f>COUNTIFS(Tasks!$B$2:$B$400,$A10,Tasks!$J$2:$J$400,"In review")</f>
        <v/>
      </c>
      <c r="G10" s="25">
        <f>COUNTIFS(Tasks!$B$2:$B$400,$A10,Tasks!$J$2:$J$400,"Complete")</f>
        <v/>
      </c>
      <c r="H10" s="25">
        <f>COUNTIFS(Tasks!$B$2:$B$400,$A10,Tasks!$J$2:$J$400,"Deferred")</f>
        <v/>
      </c>
      <c r="I10" s="34">
        <f>SUMIF(Tasks!$B$2:$B$400,$A10,Tasks!$H$2:$H$400)</f>
        <v/>
      </c>
      <c r="J10" s="34">
        <f>SUMIF(Tasks!$B$2:$B$400,$A10,Tasks!$N$2:$N$400)</f>
        <v/>
      </c>
      <c r="K10" s="34">
        <f>IF(J10=0,"",J10-I10)</f>
        <v/>
      </c>
      <c r="L10" s="35">
        <f>IFERROR(G10/B10,0)</f>
        <v/>
      </c>
    </row>
    <row r="11" ht="15" customHeight="1" s="23">
      <c r="A11" s="26" t="inlineStr">
        <is>
          <t>7 Demo domain</t>
        </is>
      </c>
      <c r="B11" s="25">
        <f>COUNTIF(Tasks!$B$2:$B$400,$A11)</f>
        <v/>
      </c>
      <c r="C11" s="25">
        <f>COUNTIFS(Tasks!$B$2:$B$400,$A11,Tasks!$J$2:$J$400,"Not started")</f>
        <v/>
      </c>
      <c r="D11" s="25">
        <f>COUNTIFS(Tasks!$B$2:$B$400,$A11,Tasks!$J$2:$J$400,"In progress")</f>
        <v/>
      </c>
      <c r="E11" s="25">
        <f>COUNTIFS(Tasks!$B$2:$B$400,$A11,Tasks!$J$2:$J$400,"Blocked")</f>
        <v/>
      </c>
      <c r="F11" s="25">
        <f>COUNTIFS(Tasks!$B$2:$B$400,$A11,Tasks!$J$2:$J$400,"In review")</f>
        <v/>
      </c>
      <c r="G11" s="25">
        <f>COUNTIFS(Tasks!$B$2:$B$400,$A11,Tasks!$J$2:$J$400,"Complete")</f>
        <v/>
      </c>
      <c r="H11" s="25">
        <f>COUNTIFS(Tasks!$B$2:$B$400,$A11,Tasks!$J$2:$J$400,"Deferred")</f>
        <v/>
      </c>
      <c r="I11" s="34">
        <f>SUMIF(Tasks!$B$2:$B$400,$A11,Tasks!$H$2:$H$400)</f>
        <v/>
      </c>
      <c r="J11" s="34">
        <f>SUMIF(Tasks!$B$2:$B$400,$A11,Tasks!$N$2:$N$400)</f>
        <v/>
      </c>
      <c r="K11" s="34">
        <f>IF(J11=0,"",J11-I11)</f>
        <v/>
      </c>
      <c r="L11" s="35">
        <f>IFERROR(G11/B11,0)</f>
        <v/>
      </c>
    </row>
    <row r="12" ht="15" customHeight="1" s="23">
      <c r="A12" s="26" t="inlineStr">
        <is>
          <t>8 Verification</t>
        </is>
      </c>
      <c r="B12" s="25">
        <f>COUNTIF(Tasks!$B$2:$B$400,$A12)</f>
        <v/>
      </c>
      <c r="C12" s="25">
        <f>COUNTIFS(Tasks!$B$2:$B$400,$A12,Tasks!$J$2:$J$400,"Not started")</f>
        <v/>
      </c>
      <c r="D12" s="25">
        <f>COUNTIFS(Tasks!$B$2:$B$400,$A12,Tasks!$J$2:$J$400,"In progress")</f>
        <v/>
      </c>
      <c r="E12" s="25">
        <f>COUNTIFS(Tasks!$B$2:$B$400,$A12,Tasks!$J$2:$J$400,"Blocked")</f>
        <v/>
      </c>
      <c r="F12" s="25">
        <f>COUNTIFS(Tasks!$B$2:$B$400,$A12,Tasks!$J$2:$J$400,"In review")</f>
        <v/>
      </c>
      <c r="G12" s="25">
        <f>COUNTIFS(Tasks!$B$2:$B$400,$A12,Tasks!$J$2:$J$400,"Complete")</f>
        <v/>
      </c>
      <c r="H12" s="25">
        <f>COUNTIFS(Tasks!$B$2:$B$400,$A12,Tasks!$J$2:$J$400,"Deferred")</f>
        <v/>
      </c>
      <c r="I12" s="34">
        <f>SUMIF(Tasks!$B$2:$B$400,$A12,Tasks!$H$2:$H$400)</f>
        <v/>
      </c>
      <c r="J12" s="34">
        <f>SUMIF(Tasks!$B$2:$B$400,$A12,Tasks!$N$2:$N$400)</f>
        <v/>
      </c>
      <c r="K12" s="34">
        <f>IF(J12=0,"",J12-I12)</f>
        <v/>
      </c>
      <c r="L12" s="35">
        <f>IFERROR(G12/B12,0)</f>
        <v/>
      </c>
    </row>
    <row r="13" ht="15" customHeight="1" s="23">
      <c r="A13" s="36" t="inlineStr">
        <is>
          <t>TOTAL</t>
        </is>
      </c>
      <c r="B13" s="37">
        <f>SUM(B4:B12)</f>
        <v/>
      </c>
      <c r="C13" s="37">
        <f>SUM(C4:C12)</f>
        <v/>
      </c>
      <c r="D13" s="37">
        <f>SUM(D4:D12)</f>
        <v/>
      </c>
      <c r="E13" s="37">
        <f>SUM(E4:E12)</f>
        <v/>
      </c>
      <c r="F13" s="37">
        <f>SUM(F4:F12)</f>
        <v/>
      </c>
      <c r="G13" s="37">
        <f>SUM(G4:G12)</f>
        <v/>
      </c>
      <c r="H13" s="37">
        <f>SUM(H4:H12)</f>
        <v/>
      </c>
      <c r="I13" s="38">
        <f>SUM(I4:I12)</f>
        <v/>
      </c>
      <c r="J13" s="38">
        <f>SUM(J4:J12)</f>
        <v/>
      </c>
      <c r="K13" s="38">
        <f>IF(J13=0,"",J13-I13)</f>
        <v/>
      </c>
      <c r="L13" s="39">
        <f>IFERROR(G13/B13,0)</f>
        <v/>
      </c>
    </row>
    <row r="15" ht="15" customHeight="1" s="23">
      <c r="A15" s="40" t="inlineStr">
        <is>
          <t>Estimates are planning figures from PLAN-AUTH-001 §4, to be re-based by the team after Phase 0. Enter Actual Days on the Tasks sheet; Variance and % Complete follow automatically.  Phase 1's Actual Days are one working session's elapsed time apportioned across its eleven tasks in proportion to estimate: 1.5 days against 8.0 estimated. The per-task figures are therefore an allocation and not eleven independent measurements; only the phase total is measured. A team with a timesheet should overwrite them.  The roll-up ranges run to row 130 rather than to the last task, so appended tasks are counted without the formulas having to be edited again -- they were edited on 2026-09-21, when T-113 to T-119 fell outside a range that stopped at row 112 and the Phase 6 totals quietly under-reported by seven tasks until somebody looked. T-113 TO T-119 ARE NOT IN PLAN-AUTH-001 EITHER: they close nine gaps.rows filed during Phases 5 to 7 and while writing the M4 handoff, so their 7.0 estimated days are this pass s own figures and not a re-based plan. 7.0 actual against 7.0 estimated, which is the first batch in this project to land on its estimate and is not a sign of skill -- the work was specified in the gap rows before it was started, and four of the seven still departed from what those rows proposed.  T-120 AND T-121 ARE FILED UNDER PHASES 1 AND 4 AND NOT UNDER THE PASS THAT FOUND THEM, because a task belongs to the phase whose work it finishes and each of them fixes that phase's own exit-criteria test. Both are test defects, both were found by running the suite in the documented order rather than by reading anything, and both reported a correct database as broken -- which is why 0.7 actual days against 0.5 estimated is the cheapest entry in this workbook and the one most worth having.</t>
        </is>
      </c>
    </row>
    <row r="16" ht="15" customHeight="1" s="23">
      <c r="A16" s="40" t="inlineStr">
        <is>
          <t>Milestones: M1 after Phase 0 · M2 after Phase 4 · M3 after Phase 5 (go/no-go on D-07) · M4 after Phase 6 (UI contract freeze) · M5 after Phase 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2:O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22" min="1" max="1"/>
    <col width="16" customWidth="1" style="22" min="2" max="2"/>
    <col width="30" customWidth="1" style="22" min="3" max="3"/>
    <col width="50" customWidth="1" style="22" min="4" max="4"/>
    <col width="14" customWidth="1" style="22" min="5" max="6"/>
    <col width="11" customWidth="1" style="22" min="7" max="7"/>
    <col width="9" customWidth="1" style="22" min="8" max="8"/>
    <col width="14" customWidth="1" style="22" min="9" max="9"/>
    <col width="13" customWidth="1" style="22" min="10" max="10"/>
    <col width="9" customWidth="1" style="22" min="11" max="11"/>
    <col width="12" customWidth="1" style="22" min="12" max="13"/>
    <col width="11" customWidth="1" style="22" min="14" max="14"/>
    <col width="46" customWidth="1" style="22" min="15" max="15"/>
  </cols>
  <sheetData>
    <row r="2" ht="17.25" customHeight="1" s="23">
      <c r="B2" s="33" t="inlineStr">
        <is>
          <t>How to use this workbook</t>
        </is>
      </c>
    </row>
    <row r="4" ht="39" customHeight="1" s="23">
      <c r="B4" s="41" t="inlineStr">
        <is>
          <t>Implementation tracker for PLAN-AUTH-001, which implements DES-AUTH-001. One row per task, grouped by the nine phases of the plan. This is the living document of the project — the design and the plan are versioned, this changes daily.</t>
        </is>
      </c>
    </row>
    <row r="6" ht="15" customHeight="1" s="23">
      <c r="B6" s="42" t="inlineStr">
        <is>
          <t>Which cells you edit</t>
        </is>
      </c>
    </row>
    <row r="7" ht="39" customHeight="1" s="23">
      <c r="B7" s="41" t="inlineStr">
        <is>
          <t>On the Tasks sheet, the shaded columns in blue text are yours: Owner, Status, % Done, Started, Completed, Actual Days, and Notes / Blockers. Everything to their left comes from the plan and should change only when the plan changes.</t>
        </is>
      </c>
    </row>
    <row r="9" ht="13.5" customHeight="1" s="23">
      <c r="B9" s="41" t="inlineStr">
        <is>
          <t>The Phase Summary sheet is entirely formulas. Do not type into it.</t>
        </is>
      </c>
    </row>
    <row r="11" ht="15" customHeight="1" s="23">
      <c r="B11" s="42" t="inlineStr">
        <is>
          <t>Example of a completed row</t>
        </is>
      </c>
    </row>
    <row r="12" ht="25.5" customHeight="1" s="23">
      <c r="B12" s="43" t="inlineStr">
        <is>
          <t>Below is what a filled-in row looks like. It is an illustration only and is not counted by the Phase Summary.</t>
        </is>
      </c>
    </row>
    <row r="14" ht="30" customHeight="1" s="23">
      <c r="A14" s="24" t="inlineStr">
        <is>
          <t>Task ID</t>
        </is>
      </c>
      <c r="B14" s="24" t="inlineStr">
        <is>
          <t>Phase</t>
        </is>
      </c>
      <c r="C14" s="24" t="inlineStr">
        <is>
          <t>Artefact / Script</t>
        </is>
      </c>
      <c r="D14" s="24" t="inlineStr">
        <is>
          <t>Task</t>
        </is>
      </c>
      <c r="E14" s="24" t="inlineStr">
        <is>
          <t>Type</t>
        </is>
      </c>
      <c r="F14" s="24" t="inlineStr">
        <is>
          <t>Design Ref</t>
        </is>
      </c>
      <c r="G14" s="24" t="inlineStr">
        <is>
          <t>Depends On</t>
        </is>
      </c>
      <c r="H14" s="24" t="inlineStr">
        <is>
          <t>Est. Days</t>
        </is>
      </c>
      <c r="I14" s="24" t="inlineStr">
        <is>
          <t>Owner</t>
        </is>
      </c>
      <c r="J14" s="24" t="inlineStr">
        <is>
          <t>Status</t>
        </is>
      </c>
      <c r="K14" s="24" t="inlineStr">
        <is>
          <t>% Done</t>
        </is>
      </c>
      <c r="L14" s="24" t="inlineStr">
        <is>
          <t>Started</t>
        </is>
      </c>
      <c r="M14" s="24" t="inlineStr">
        <is>
          <t>Completed</t>
        </is>
      </c>
      <c r="N14" s="24" t="inlineStr">
        <is>
          <t>Actual Days</t>
        </is>
      </c>
      <c r="O14" s="24" t="inlineStr">
        <is>
          <t>Notes / Blockers</t>
        </is>
      </c>
    </row>
    <row r="15" ht="23.25" customHeight="1" s="23">
      <c r="A15" s="25" t="inlineStr">
        <is>
          <t>T-017</t>
        </is>
      </c>
      <c r="B15" s="26" t="inlineStr">
        <is>
          <t>1 Tenancy</t>
        </is>
      </c>
      <c r="C15" s="27" t="inlineStr">
        <is>
          <t>125_auth_tenant_procedures.sql</t>
        </is>
      </c>
      <c r="D15" s="27" t="inlineStr">
        <is>
          <t>auth.uspRebuildTenantClosure — full rebuild in one transaction, idempotent</t>
        </is>
      </c>
      <c r="E15" s="25" t="inlineStr">
        <is>
          <t>Procedure</t>
        </is>
      </c>
      <c r="F15" s="27" t="inlineStr">
        <is>
          <t>DES §5.3</t>
        </is>
      </c>
      <c r="G15" s="26" t="inlineStr">
        <is>
          <t>T-016</t>
        </is>
      </c>
      <c r="H15" s="25" t="n">
        <v>1</v>
      </c>
      <c r="I15" s="28" t="inlineStr">
        <is>
          <t>R. Sincero</t>
        </is>
      </c>
      <c r="J15" s="28" t="inlineStr">
        <is>
          <t>Complete</t>
        </is>
      </c>
      <c r="K15" s="30" t="n">
        <v>1</v>
      </c>
      <c r="L15" s="28" t="inlineStr">
        <is>
          <t>2026-10-06</t>
        </is>
      </c>
      <c r="M15" s="28" t="inlineStr">
        <is>
          <t>2026-10-08</t>
        </is>
      </c>
      <c r="N15" s="28" t="n">
        <v>1.5</v>
      </c>
      <c r="O15" s="32" t="inlineStr">
        <is>
          <t>Overran: the re-parenting test found the closure was not rebuilding depth-0 rows for the moved node.</t>
        </is>
      </c>
    </row>
    <row r="18" ht="135.75" customHeight="1" s="23">
      <c r="A18" s="41" t="inlineStr">
        <is>
          <t xml:space="preserve">   •   Status values: Not started · In progress · Blocked · In review · Complete · Deferred.</t>
        </is>
      </c>
    </row>
    <row r="19" ht="124.5" customHeight="1" s="23">
      <c r="A19" s="41" t="inlineStr">
        <is>
          <t xml:space="preserve">   •   A task stays In progress until it is genuinely finished. A task with a failing test is not Complete.</t>
        </is>
      </c>
    </row>
    <row r="20" ht="113.25" customHeight="1" s="23">
      <c r="A20" s="41" t="inlineStr">
        <is>
          <t xml:space="preserve">   •   Blocked needs a reason in Notes / Blockers naming what would unblock it.</t>
        </is>
      </c>
    </row>
    <row r="21" ht="213.75" customHeight="1" s="23">
      <c r="A21" s="41" t="inlineStr">
        <is>
          <t xml:space="preserve">   •   Design Ref points at DES-AUTH-001 (the design) or PLAN-AUTH-001 (this plan). G- and UI- codes point at the Gaps and UI Gotchas workbooks.</t>
        </is>
      </c>
    </row>
    <row r="22" ht="113.25" customHeight="1" s="23">
      <c r="A22" s="41" t="inlineStr">
        <is>
          <t xml:space="preserve">   •   Depends On names the task that must finish first. It is advisory, not enforced.</t>
        </is>
      </c>
    </row>
    <row r="24">
      <c r="B24" s="45" t="inlineStr">
        <is>
          <t>Why the task numbering skips T-045</t>
        </is>
      </c>
    </row>
    <row r="25">
      <c r="B25" s="46" t="inlineStr">
        <is>
          <t>T-045 was 'table-valued parameter types for bulk role assignment' and has been DELETED, not re-scoped, because gap G-20 resolved the bulk payload as an NVARCHAR (MAX) JSON array shredded with OPENJSON and gated by ISJSON (@Payload, ARRAY) = 0. There is no type to create, so there is no task -- re-scoping it to 'do nothing' would leave a row somebody has to read before discovering it is empty. DES section 14.6 and section 8.2 carry the decision, E-50046 is the malformed-payload error, and BL-030 records the deletion. The Dapper note changed with it: serialise the list and pass a string, rather than build a DataTable.</t>
        </is>
      </c>
    </row>
    <row r="27">
      <c r="A27" s="22" t="inlineStr">
        <is>
          <t>Why the task numbering ends at T-119, and why every task past T-110 was appended rather than inserted</t>
        </is>
      </c>
    </row>
    <row r="28" s="23">
      <c r="A28" s="22" t="inlineStr">
        <is>
          <t>T-112 is the MFA enrolment surface, added on 2026-09-20 once gap G-07 was decided and appended rather than inserted next to T-041. The Phase Summary formulas read Tasks!$B$2:$B$112, so row 112 is the last row they count: inserting a row in the middle would have left them counting a range that no longer matches the sheet, and a roll-up that quietly under-counts a phase is worse than an ID out of sequence. The plan did not have this task because the plan expected enrolment to fall out of choosing a key. It did not: the key decision is one day of reading and the surface is four procedures with a bootstrap problem in the middle of it.
T-113 TO T-119 WERE APPENDED THE SAME WAY ON 2026-09-21, for the same reason and with one correction. They close nine gap rows -- G-12, G-18, G-21, G-24, G-27, G-30, G-32, G-42 and G-43 -- none of which is in PLAN-AUTH-001, because all nine were filed during Phases 5 to 7 or while writing the M4 handoff. THE CORRECTION IS THE ONE THE PARAGRAPH ABOVE SHOULD HAVE MADE: appending kept the formulas VALID and did not keep them CORRECT. Tasks!$B$2:$B$112 stopped at what was then the last row, so the first appended row past it would have been counted nowhere -- Phase 6 would have under-reported by seven tasks and the roll-up would have looked healthy while doing it. The ranges now run to row 130, which is headroom rather than a fix: the rule is that the range must exceed the sheet, and a range that merely reaches it is a range that is one append away from lying. All seven are Phase 6 Administration, because that is the phase whose gaps they close, and grouping them there keeps the phase variance honest -- 7.0 days estimated against 7.0 actual, the first batch in this project to land on its estimate, which says more about the gap rows having specified the work than about anybody s judgement. Four of the seven departed from what those rows proposed anyway, and the departures are in BL-067 to BL-073.</t>
        </is>
      </c>
    </row>
    <row r="30">
      <c r="A30" s="22" t="inlineStr">
        <is>
          <t>How to read Started and Completed on the rows closed so far</t>
        </is>
      </c>
    </row>
    <row r="31" s="23">
      <c r="A31" s="22" t="inlineStr">
        <is>
          <t>Phases 0 to 7 were built and deployed against MDE-55TT2J4\testTemplate in a small number of sittings rather than over the calendar the estimates assume, so Started and Completed on those rows record the DATE THE WORK LANDED and not an elapsed span: every row from Phase 3 onward carries 2026-09-20 in both columns. Actual Days is still meaningful and is not the gap between those two dates -- it is effort in the same planning unit as Est. Days, so the Variance column on Phase Summary continues to mean what it means. A team working to a calendar should overwrite both dates with real ones.
ONE SET OF ROWS DID NOT LAND ON testTemplate AT ALL. T-069 to T-073, the Phase 5 measurements, ran against a separate database, MDE-55TT2J4\testTemplateBoot, loaded with 1,050 tenants, 5,000 profiles and 200,000 case files. That separation is deliberate and worth keeping: a measurement fixture in the working database is a row somebody will eventually mistake for real. The consequence is that testTemplateBoot must be dropped and rebuilt before any further predicate measurement, because T-072 expanded it to 10,650 tenants and left it there.
Actual Days from Phase 5 onward are per-task figures rather than an apportionment. Phases 5, 6 and 7 came in at 26.0 days of effort against the 35.5 the plan estimated for the same 34 tasks -- 3.8 against 6, 18.5 against 23.5 and 3.7 against 6. EXACTLY ONE TASK IN THE BATCH EXCEEDED ITS OWN ESTIMATE: T-094, the error catalogue, at 1.6 against 1, because the coverage report found the suite was crediting itself with residue and the fix was to measure the registry against sys.sql_modules rather than assert it. The other two largest actuals did NOT overrun and are recorded here only because their Notes are the ones worth reading -- T-087 at 1.5 (the registration procedures, the only unauthenticated writers in the database, which must therefore validate everything) and T-078 at 1.4 against 1.5 (the profile switch, which threw E-50022 on every call after succeeding). An earlier version of this note said "roughly 27 days" and called all three overruns; both halves were wrong, and a Legend that rounds its own roll-up is a Legend nobody can reconcile against Phase Summary.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2026-09-19T18:36:38Z</dcterms:created>
  <dcterms:modified xmlns:dcterms="http://purl.org/dc/terms/" xmlns:xsi="http://www.w3.org/2001/XMLSchema-instance" xsi:type="dcterms:W3CDTF">2026-09-21T18:00:34Z</dcterms:modified>
  <cp:revision>0</cp:revision>
</cp:coreProperties>
</file>